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Business Dashboard" sheetId="2" state="visible" r:id="rId4"/>
    <sheet name="Market Trends" sheetId="3" state="visible" r:id="rId5"/>
    <sheet name="Trade Analysis" sheetId="4" state="visible" r:id="rId6"/>
    <sheet name="Price Analysis" sheetId="5" state="visible" r:id="rId7"/>
    <sheet name="Data_Market" sheetId="6" state="visible" r:id="rId8"/>
    <sheet name="Data_Trade" sheetId="7" state="visible" r:id="rId9"/>
    <sheet name="Data_Prices" sheetId="8" state="visible" r:id="rId10"/>
    <sheet name="Data Quality" sheetId="9" state="visible" r:id="rId11"/>
    <sheet name="Note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<sst xmlns="http://schemas.openxmlformats.org/spreadsheetml/2006/main" count="410" uniqueCount="241">
  <si>
    <t xml:space="preserve">Coal Market &amp; Supply Analytics: Executive Summary</t>
  </si>
  <si>
    <t xml:space="preserve">Selected markets: China, India, Indonesia, Australia, Japan. All KPI values below are live formulas.</t>
  </si>
  <si>
    <t xml:space="preserve">Metric</t>
  </si>
  <si>
    <t xml:space="preserve">Value</t>
  </si>
  <si>
    <t xml:space="preserve">Basis</t>
  </si>
  <si>
    <t xml:space="preserve">Latest year of market data</t>
  </si>
  <si>
    <t xml:space="preserve">Market Trends</t>
  </si>
  <si>
    <t xml:space="preserve">Largest producer</t>
  </si>
  <si>
    <t xml:space="preserve">Highest production, latest year</t>
  </si>
  <si>
    <t xml:space="preserve">  production (Mt)</t>
  </si>
  <si>
    <t xml:space="preserve">Million tonnes</t>
  </si>
  <si>
    <t xml:space="preserve">  share of selected-market production</t>
  </si>
  <si>
    <t xml:space="preserve">Five selected countries only</t>
  </si>
  <si>
    <t xml:space="preserve">Fastest production growth</t>
  </si>
  <si>
    <t xml:space="preserve">Full-period CAGR</t>
  </si>
  <si>
    <t xml:space="preserve">  production CAGR</t>
  </si>
  <si>
    <t xml:space="preserve">Fastest consumption growth</t>
  </si>
  <si>
    <t xml:space="preserve">Full-period CAGR (Indonesia affected by 2023 jump, see Data Quality)</t>
  </si>
  <si>
    <t xml:space="preserve">  consumption CAGR</t>
  </si>
  <si>
    <t xml:space="preserve">Largest importer</t>
  </si>
  <si>
    <t xml:space="preserve">Latest year, selected importers</t>
  </si>
  <si>
    <t xml:space="preserve">  imports (EJ)</t>
  </si>
  <si>
    <t xml:space="preserve">  share of world coal trade</t>
  </si>
  <si>
    <t xml:space="preserve">Largest exporter</t>
  </si>
  <si>
    <t xml:space="preserve">Latest year, selected exporters</t>
  </si>
  <si>
    <t xml:space="preserve">  exports (EJ)</t>
  </si>
  <si>
    <t xml:space="preserve">Top two exporters, share of world trade (latest)</t>
  </si>
  <si>
    <t xml:space="preserve">Countries reported in both years (like-for-like)</t>
  </si>
  <si>
    <t xml:space="preserve">Top two exporters, share of world trade (prior)</t>
  </si>
  <si>
    <t xml:space="preserve">Same countries</t>
  </si>
  <si>
    <t xml:space="preserve">Benchmark price, latest year (USD/t)</t>
  </si>
  <si>
    <t xml:space="preserve">Australian thermal coal</t>
  </si>
  <si>
    <t xml:space="preserve">Benchmark price at peak (USD/t)</t>
  </si>
  <si>
    <t xml:space="preserve">Peak year in Price Analysis</t>
  </si>
  <si>
    <t xml:space="preserve">Latest price vs peak</t>
  </si>
  <si>
    <t xml:space="preserve">Key findings (narrative generated from the data when the workbook was built)</t>
  </si>
  <si>
    <t xml:space="preserve">Scale: China produced 4,780 Mt in 2024 (67% of the five selected markets) and consumed 92.2 EJ (73% of selected consumption).</t>
  </si>
  <si>
    <t xml:space="preserve">India: production grew 5.3% a year and consumption 4.8% a year over 2014-2024; consumption rose 14.7% in 2024 alone.</t>
  </si>
  <si>
    <t xml:space="preserve">Indonesia: production CAGR 6.2%, consumption CAGR 11.5%; includes a +59% jump in 2023 that needs source verification.</t>
  </si>
  <si>
    <t xml:space="preserve">Export dependence: Indonesia exported 10.72 EJ in 2024 (2.3x its domestic consumption); Australia exported 9.07 EJ (6.0x its domestic consumption).</t>
  </si>
  <si>
    <t xml:space="preserve">Import dependence (2024, imports / domestic consumption): Japan 96%, India 23%, China 13%.</t>
  </si>
  <si>
    <t xml:space="preserve">China's import pull: imports rose 14.4% to 11.62 EJ and its share of world trade moved +3.6 pp to 32.3%.</t>
  </si>
  <si>
    <t xml:space="preserve">Concentration: the two exporters present in both years (Australia, Indonesia) supplied 55.0% of world trade in 2024 vs 53.6% in 2023; the four listed importers took 67.6% (vs 65.2%).</t>
  </si>
  <si>
    <t xml:space="preserve">Price: Australian thermal coal averaged $345/t in 2022 (peak), $108/t in 2025 (-69% vs peak, -22% vs 2021).</t>
  </si>
  <si>
    <t xml:space="preserve">Contracting markets: Australia (production -0.9%, consumption -2.2% CAGR) and Japan (consumption -1.1% CAGR) are shrinking domestically.</t>
  </si>
  <si>
    <t xml:space="preserve">Where each business question is answered</t>
  </si>
  <si>
    <t xml:space="preserve">Which markets show sustained production and consumption growth?</t>
  </si>
  <si>
    <t xml:space="preserve">Which importers represent the largest demand pools?</t>
  </si>
  <si>
    <t xml:space="preserve">Trade Analysis</t>
  </si>
  <si>
    <t xml:space="preserve">How concentrated is selected international coal trade?</t>
  </si>
  <si>
    <t xml:space="preserve">Trade Analysis (concentration table)</t>
  </si>
  <si>
    <t xml:space="preserve">How has benchmark thermal-coal pricing changed since the 2022 spike?</t>
  </si>
  <si>
    <t xml:space="preserve">Price Analysis</t>
  </si>
  <si>
    <t xml:space="preserve">Where do supply growth and demand growth diverge?</t>
  </si>
  <si>
    <t xml:space="preserve">Market Trends (growth gap and signal columns)</t>
  </si>
  <si>
    <t xml:space="preserve">Which data points should be verified before relying on conclusions?</t>
  </si>
  <si>
    <t xml:space="preserve">Data Quality</t>
  </si>
  <si>
    <t xml:space="preserve">These are historical observations from public data, not forecasts or investment recommendations.</t>
  </si>
  <si>
    <t xml:space="preserve">Business Dashboard</t>
  </si>
  <si>
    <t xml:space="preserve">All tiles and charts read from the analysis sheets and update when the data sheets change.</t>
  </si>
  <si>
    <t xml:space="preserve">Largest producer share</t>
  </si>
  <si>
    <t xml:space="preserve">Note: Russia has no 2024 export figure in the supplied data, so its 2024 bar is empty. Not a zero.</t>
  </si>
  <si>
    <t xml:space="preserve">Market Trends: supply and demand</t>
  </si>
  <si>
    <t xml:space="preserve">Production in Mt, consumption in EJ. Units differ, so supply and demand are compared through growth rates and indices, never subtracted.</t>
  </si>
  <si>
    <t xml:space="preserve">Base year</t>
  </si>
  <si>
    <t xml:space="preserve">&lt;- yellow cells are assumptions you can change</t>
  </si>
  <si>
    <t xml:space="preserve">Recent window start</t>
  </si>
  <si>
    <t xml:space="preserve">Latest year</t>
  </si>
  <si>
    <t xml:space="preserve">Growth threshold (CAGR)</t>
  </si>
  <si>
    <t xml:space="preserve">Country</t>
  </si>
  <si>
    <t xml:space="preserve">Production base year (Mt)</t>
  </si>
  <si>
    <t xml:space="preserve">Production recent start (Mt)</t>
  </si>
  <si>
    <t xml:space="preserve">Production latest (Mt)</t>
  </si>
  <si>
    <t xml:space="preserve">Production CAGR (full period)</t>
  </si>
  <si>
    <t xml:space="preserve">Production CAGR (recent)</t>
  </si>
  <si>
    <t xml:space="preserve">Share of selected production</t>
  </si>
  <si>
    <t xml:space="preserve">Consumption base year (EJ)</t>
  </si>
  <si>
    <t xml:space="preserve">Consumption recent start (EJ)</t>
  </si>
  <si>
    <t xml:space="preserve">Consumption latest (EJ)</t>
  </si>
  <si>
    <t xml:space="preserve">Consumption CAGR (full period)</t>
  </si>
  <si>
    <t xml:space="preserve">Consumption CAGR (recent)</t>
  </si>
  <si>
    <t xml:space="preserve">Share of selected consumption</t>
  </si>
  <si>
    <t xml:space="preserve">Growth gap: production minus consumption CAGR (pp)</t>
  </si>
  <si>
    <t xml:space="preserve">Production rank</t>
  </si>
  <si>
    <t xml:space="preserve">Consumption rank</t>
  </si>
  <si>
    <t xml:space="preserve">Market signal</t>
  </si>
  <si>
    <t xml:space="preserve">Production YoY, latest year</t>
  </si>
  <si>
    <t xml:space="preserve">Consumption YoY, latest year</t>
  </si>
  <si>
    <t xml:space="preserve">China</t>
  </si>
  <si>
    <t xml:space="preserve">India</t>
  </si>
  <si>
    <t xml:space="preserve">Indonesia</t>
  </si>
  <si>
    <t xml:space="preserve">Australia</t>
  </si>
  <si>
    <t xml:space="preserve">Japan</t>
  </si>
  <si>
    <t xml:space="preserve">Total (selected)</t>
  </si>
  <si>
    <t xml:space="preserve">Caution: Indonesia consumption jumped +59% in 2023 (see Data Quality) and Japan produces about 0.5 Mt, so their CAGRs are sensitive to a single data point. Red YoY = move above 40%.</t>
  </si>
  <si>
    <t xml:space="preserve">Production index (base year = 100)</t>
  </si>
  <si>
    <t xml:space="preserve">Consumption index (base year = 100)</t>
  </si>
  <si>
    <t xml:space="preserve">Year</t>
  </si>
  <si>
    <t xml:space="preserve">Trade Analysis: exposure and concentration</t>
  </si>
  <si>
    <t xml:space="preserve">Selected exporters and importers only (not the full world list). Volumes in EJ so they can be compared with domestic consumption.</t>
  </si>
  <si>
    <t xml:space="preserve">Prior year</t>
  </si>
  <si>
    <t xml:space="preserve">Role</t>
  </si>
  <si>
    <t xml:space="preserve">Prior year volume (EJ)</t>
  </si>
  <si>
    <t xml:space="preserve">Latest volume (EJ)</t>
  </si>
  <si>
    <t xml:space="preserve">YoY change</t>
  </si>
  <si>
    <t xml:space="preserve">Prior share of world trade (%)</t>
  </si>
  <si>
    <t xml:space="preserve">Latest share of world trade (%)</t>
  </si>
  <si>
    <t xml:space="preserve">Share change (pp)</t>
  </si>
  <si>
    <t xml:space="preserve">Reported in both years?</t>
  </si>
  <si>
    <t xml:space="preserve">Domestic consumption, latest (EJ)</t>
  </si>
  <si>
    <t xml:space="preserve">Trade / domestic consumption (x)</t>
  </si>
  <si>
    <t xml:space="preserve">Read-across</t>
  </si>
  <si>
    <t xml:space="preserve">Exporter</t>
  </si>
  <si>
    <t xml:space="preserve">Russian Federation</t>
  </si>
  <si>
    <t xml:space="preserve">Importer</t>
  </si>
  <si>
    <t xml:space="preserve">South Korea</t>
  </si>
  <si>
    <t xml:space="preserve">Concentration of selected trade</t>
  </si>
  <si>
    <t xml:space="preserve">Countries listed</t>
  </si>
  <si>
    <t xml:space="preserve">Combined share listed (%)</t>
  </si>
  <si>
    <t xml:space="preserve">Top single share (%)</t>
  </si>
  <si>
    <t xml:space="preserve">HHI (listed only, lower bound)</t>
  </si>
  <si>
    <t xml:space="preserve">Share of countries reported in both years (%)</t>
  </si>
  <si>
    <t xml:space="preserve">Like-for-like comparison uses the last column: it keeps only countries reported in both years. Listed-country totals are not comparable across years because Russia is missing in 2024. HHI is a lower bound (unlisted countries add to it).</t>
  </si>
  <si>
    <t xml:space="preserve">Checks and counts</t>
  </si>
  <si>
    <t xml:space="preserve">Implied world trade, prior year (EJ)</t>
  </si>
  <si>
    <t xml:space="preserve">Implied world trade, latest year (EJ)</t>
  </si>
  <si>
    <t xml:space="preserve">Entries with higher volume than prior year</t>
  </si>
  <si>
    <t xml:space="preserve">Entries not reported in both years</t>
  </si>
  <si>
    <t xml:space="preserve">Price Analysis: Australian thermal coal benchmark</t>
  </si>
  <si>
    <t xml:space="preserve">USD per tonne, annual averages (World Bank Pink Sheet). Historical observations only, not a forecast.</t>
  </si>
  <si>
    <t xml:space="preserve">Price (USD/t)</t>
  </si>
  <si>
    <t xml:space="preserve">Index (first year = 100)</t>
  </si>
  <si>
    <t xml:space="preserve">Vs peak year</t>
  </si>
  <si>
    <t xml:space="preserve">Flag</t>
  </si>
  <si>
    <t xml:space="preserve">Summary</t>
  </si>
  <si>
    <t xml:space="preserve">Peak price (USD/t)</t>
  </si>
  <si>
    <t xml:space="preserve">Peak year</t>
  </si>
  <si>
    <t xml:space="preserve">Latest price (USD/t)</t>
  </si>
  <si>
    <t xml:space="preserve">Latest price vs first year</t>
  </si>
  <si>
    <t xml:space="preserve">Years priced below the first-year level</t>
  </si>
  <si>
    <t xml:space="preserve">Average price over the period (USD/t)</t>
  </si>
  <si>
    <t xml:space="preserve">Reconciliation: annual vs quarterly</t>
  </si>
  <si>
    <t xml:space="preserve">Mean of 2025 quarterly prices</t>
  </si>
  <si>
    <t xml:space="preserve">2025 annual price</t>
  </si>
  <si>
    <t xml:space="preserve">Difference</t>
  </si>
  <si>
    <t xml:space="preserve">Status</t>
  </si>
  <si>
    <t xml:space="preserve">Limitation: only 2021-2025 annual prices are loaded, while production/consumption cover 2014-2024. Append earlier years to Data_Prices to extend every table here.</t>
  </si>
  <si>
    <t xml:space="preserve">Production_Mt</t>
  </si>
  <si>
    <t xml:space="preserve">Consumption_EJ</t>
  </si>
  <si>
    <t xml:space="preserve">Key</t>
  </si>
  <si>
    <t xml:space="preserve">Source: Energy Institute Statistical Review of World Energy 2025 (data/raw/coal_production_*.csv, coal_consumption_*.csv).</t>
  </si>
  <si>
    <t xml:space="preserve">Production in million tonnes (Mt). Consumption in exajoules (EJ). Blue = typed source data. Column E is a helper key for INDEX/MATCH lookups.</t>
  </si>
  <si>
    <t xml:space="preserve">PivotTable: click any cell in this table, then Insert &gt; PivotTable.</t>
  </si>
  <si>
    <t xml:space="preserve">Trade_Role</t>
  </si>
  <si>
    <t xml:space="preserve">Trade_EJ</t>
  </si>
  <si>
    <t xml:space="preserve">Share_of_World_Trade_pct</t>
  </si>
  <si>
    <t xml:space="preserve">Implied_World_Trade_EJ</t>
  </si>
  <si>
    <t xml:space="preserve">Source: Energy Institute Statistical Review 2025 (data/raw/coal_trade_selected_2023_2024.csv). Selected countries only, not the full world list.</t>
  </si>
  <si>
    <t xml:space="preserve">Implied world trade = Trade_EJ / share x 100. It should be roughly the same for every row in a year (a consistency check).</t>
  </si>
  <si>
    <t xml:space="preserve">Australia_Thermal_Coal_USD_per_mt</t>
  </si>
  <si>
    <t xml:space="preserve">Period</t>
  </si>
  <si>
    <t xml:space="preserve">Period_Type</t>
  </si>
  <si>
    <t xml:space="preserve">Price_USD_per_mt</t>
  </si>
  <si>
    <t xml:space="preserve">Source: World Bank Commodity Price Data (Pink Sheet), Australian thermal coal, USD per tonne.</t>
  </si>
  <si>
    <t xml:space="preserve">2024-Q3</t>
  </si>
  <si>
    <t xml:space="preserve">To extend the history: append earlier years to columns A:B. The Price Analysis sheet reads the first year automatically.</t>
  </si>
  <si>
    <t xml:space="preserve">2024-Q4</t>
  </si>
  <si>
    <t xml:space="preserve">2025-Q1</t>
  </si>
  <si>
    <t xml:space="preserve">2025-Q2</t>
  </si>
  <si>
    <t xml:space="preserve">2025-Q3</t>
  </si>
  <si>
    <t xml:space="preserve">2025-Q4</t>
  </si>
  <si>
    <t xml:space="preserve">2025-10</t>
  </si>
  <si>
    <t xml:space="preserve">2025-11</t>
  </si>
  <si>
    <t xml:space="preserve">2025-12</t>
  </si>
  <si>
    <t xml:space="preserve">2026-01</t>
  </si>
  <si>
    <t xml:space="preserve">Data Quality Report</t>
  </si>
  <si>
    <t xml:space="preserve">Produced by python/market_analysis.py. PASS = check succeeded, WARN = review before relying on the figure, INFO = context.</t>
  </si>
  <si>
    <t xml:space="preserve">Dataset</t>
  </si>
  <si>
    <t xml:space="preserve">Check</t>
  </si>
  <si>
    <t xml:space="preserve">Detail</t>
  </si>
  <si>
    <t xml:space="preserve">production</t>
  </si>
  <si>
    <t xml:space="preserve">No missing values</t>
  </si>
  <si>
    <t xml:space="preserve">PASS</t>
  </si>
  <si>
    <t xml:space="preserve">0 missing cells</t>
  </si>
  <si>
    <t xml:space="preserve">No duplicate keys</t>
  </si>
  <si>
    <t xml:space="preserve">0 duplicate rows on ['Year', 'Country']</t>
  </si>
  <si>
    <t xml:space="preserve">consumption</t>
  </si>
  <si>
    <t xml:space="preserve">trade</t>
  </si>
  <si>
    <t xml:space="preserve">0 duplicate rows on ['Year', 'Trade_Role', 'Country']</t>
  </si>
  <si>
    <t xml:space="preserve">prices</t>
  </si>
  <si>
    <t xml:space="preserve">0 duplicate rows on ['Year']</t>
  </si>
  <si>
    <t xml:space="preserve">Every country has contiguous years 2014-2024</t>
  </si>
  <si>
    <t xml:space="preserve">all 5 countries complete</t>
  </si>
  <si>
    <t xml:space="preserve">production/consumption</t>
  </si>
  <si>
    <t xml:space="preserve">Same country set in both files</t>
  </si>
  <si>
    <t xml:space="preserve">All values &gt; 0</t>
  </si>
  <si>
    <t xml:space="preserve">0 non-positive values</t>
  </si>
  <si>
    <t xml:space="preserve">No YoY move above 40%</t>
  </si>
  <si>
    <t xml:space="preserve">YoY move above 40% needs source check</t>
  </si>
  <si>
    <t xml:space="preserve">WARN</t>
  </si>
  <si>
    <t xml:space="preserve">Indonesia 2023 (+59.3%). Verify against the Energy Institute workbook (possible series revision).</t>
  </si>
  <si>
    <t xml:space="preserve">Production below 5 Mt (low base)</t>
  </si>
  <si>
    <t xml:space="preserve">Japan: YoY % swings on tiny absolute changes; interpret CAGR with care.</t>
  </si>
  <si>
    <t xml:space="preserve">2023: EJ / share implies one consistent world-trade total</t>
  </si>
  <si>
    <t xml:space="preserve">implied world trade 35.43 EJ, spread 0.2%</t>
  </si>
  <si>
    <t xml:space="preserve">2024: EJ / share implies one consistent world-trade total</t>
  </si>
  <si>
    <t xml:space="preserve">implied world trade 36.01 EJ, spread 0.5%</t>
  </si>
  <si>
    <t xml:space="preserve">Share of world trade per role does not exceed 100%</t>
  </si>
  <si>
    <t xml:space="preserve">Same exporter/importer list in 2023 and 2024</t>
  </si>
  <si>
    <t xml:space="preserve">Missing in 2024: Russian Federation (Exporter). Year-on-year change and concentration are computed only on the comparable set.</t>
  </si>
  <si>
    <t xml:space="preserve">Annual price history 2021-2025 vs market data 2014-2024</t>
  </si>
  <si>
    <t xml:space="preserve">Price history is shorter than production/consumption history. Extend with the World Bank Pink Sheet annual series (see README, 'Extending the price history').</t>
  </si>
  <si>
    <t xml:space="preserve">2025 annual price equals mean of 2025 quarters</t>
  </si>
  <si>
    <t xml:space="preserve">quarterly mean 108.4 vs annual 108.4</t>
  </si>
  <si>
    <t xml:space="preserve">price_detail</t>
  </si>
  <si>
    <t xml:space="preserve">Mixed granularity in 'Period' (quarters and months)</t>
  </si>
  <si>
    <t xml:space="preserve">INFO</t>
  </si>
  <si>
    <t xml:space="preserve">Split into Period_Type (Quarter/Month) in price_detail_clean.csv; do not average across types.</t>
  </si>
  <si>
    <t xml:space="preserve">Notes, units and conventions</t>
  </si>
  <si>
    <t xml:space="preserve">Purpose</t>
  </si>
  <si>
    <t xml:space="preserve">Business-review workbook for coal supply, demand, trade exposure and benchmark price tracking.</t>
  </si>
  <si>
    <t xml:space="preserve">Sources</t>
  </si>
  <si>
    <t xml:space="preserve">Energy Institute Statistical Review of World Energy 2025 (production, consumption, trade). World Bank Pink Sheet (Australian thermal coal price).</t>
  </si>
  <si>
    <t xml:space="preserve">Units</t>
  </si>
  <si>
    <t xml:space="preserve">Production: million tonnes (Mt). Consumption and trade: exajoules (EJ). Price: USD per tonne. Production and consumption are NOT subtracted because the units differ.</t>
  </si>
  <si>
    <t xml:space="preserve">Colour code</t>
  </si>
  <si>
    <t xml:space="preserve">Blue font = typed source data or label. Black = formula. Yellow fill = assumption you may change.</t>
  </si>
  <si>
    <t xml:space="preserve">Formulas used</t>
  </si>
  <si>
    <t xml:space="preserve">SUMIFS, COUNTIFS, AVERAGEIFS, INDEX/MATCH (lookups), SUMPRODUCT, RANK, IF/IFERROR. INDEX/MATCH is used instead of XLOOKUP so the file also calculates in older Excel and LibreOffice.</t>
  </si>
  <si>
    <t xml:space="preserve">PivotTable</t>
  </si>
  <si>
    <t xml:space="preserve">Not embedded (a file generator cannot create a native PivotTable). Data_Market is an Excel Table: click inside it, Insert &gt; PivotTable.</t>
  </si>
  <si>
    <t xml:space="preserve">Growth maths</t>
  </si>
  <si>
    <t xml:space="preserve">CAGR = (end / start) ^ (1 / years) - 1. Index = value / base-year value x 100.</t>
  </si>
  <si>
    <t xml:space="preserve">Import / export ratio</t>
  </si>
  <si>
    <t xml:space="preserve">Trade volume divided by domestic consumption, both in EJ. For importers this approximates import reliance; for exporters it shows how large exports are relative to home use.</t>
  </si>
  <si>
    <t xml:space="preserve">Concentration</t>
  </si>
  <si>
    <t xml:space="preserve">HHI = sum of squared shares (0-10,000 scale) over the countries LISTED. Unlisted countries would add to it, so it is a lower bound.</t>
  </si>
  <si>
    <t xml:space="preserve">Limitations</t>
  </si>
  <si>
    <t xml:space="preserve">Selected countries only; historical statistics are revised by the source; prices cover 2021-2025 only; no forecasts.</t>
  </si>
  <si>
    <t xml:space="preserve">Refresh</t>
  </si>
  <si>
    <t xml:space="preserve">Run python/market_analysis.py then python/build_excel.py to regenerate this workbook from data/raw.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</si>
</sst>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@"/>
    <numFmt numFmtId="167" formatCode="#,##0"/>
    <numFmt numFmtId="168" formatCode="0.0%"/>
    <numFmt numFmtId="169" formatCode="0.00"/>
    <numFmt numFmtId="170" formatCode="0.0"/>
    <numFmt numFmtId="171" formatCode="0%"/>
    <numFmt numFmtId="172" formatCode="#,##0.0"/>
    <numFmt numFmtId="173" formatCode="\+0.0;\-0.0;0.0"/>
    <numFmt numFmtId="174" formatCode="0.0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D3D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1F2D3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  <fill>
      <patternFill patternType="solid">
        <fgColor rgb="FFEAF0F6"/>
        <bgColor rgb="FFF4F6F8"/>
      </patternFill>
    </fill>
    <fill>
      <patternFill patternType="solid">
        <fgColor rgb="FFFFF9C4"/>
        <bgColor rgb="FFFFE9B5"/>
      </patternFill>
    </fill>
    <fill>
      <patternFill patternType="solid">
        <fgColor rgb="FFF4F6F8"/>
        <bgColor rgb="FFEAF0F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5DA"/>
      </left>
      <right style="thin">
        <color rgb="FFD0D5DA"/>
      </right>
      <top style="thin">
        <color rgb="FFD0D5DA"/>
      </top>
      <bottom style="thin">
        <color rgb="FFD0D5DA"/>
      </bottom>
      <diagonal/>
    </border>
    <border diagonalUp="false" diagonalDown="false">
      <left style="thin">
        <color rgb="FFD0D5DA"/>
      </left>
      <right/>
      <top style="thin">
        <color rgb="FFD0D5DA"/>
      </top>
      <bottom style="thin">
        <color rgb="FFD0D5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ont>
        <name val="Arial"/>
        <charset val="1"/>
        <family val="0"/>
        <b val="1"/>
        <color rgb="FFC0392B"/>
      </font>
    </dxf>
    <dxf>
      <font>
        <name val="Arial"/>
        <charset val="1"/>
        <family val="0"/>
        <color rgb="FFC0392B"/>
      </font>
    </dxf>
    <dxf>
      <font>
        <name val="Arial"/>
        <charset val="1"/>
        <family val="0"/>
        <color rgb="FF1E8449"/>
      </font>
    </dxf>
    <dxf>
      <fill>
        <patternFill>
          <bgColor rgb="FFFCE4E4"/>
        </patternFill>
      </fill>
    </dxf>
    <dxf>
      <fill>
        <patternFill patternType="solid">
          <fgColor rgb="FF1F2D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D5F0DD"/>
        </patternFill>
      </fill>
    </dxf>
    <dxf>
      <fill>
        <patternFill>
          <bgColor rgb="FFFFE9B5"/>
        </patternFill>
      </fill>
    </dxf>
    <dxf>
      <fill>
        <patternFill>
          <bgColor rgb="FFF8B4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D9D9D9"/>
      <rgbColor rgb="FF878787"/>
      <rgbColor rgb="FF9999FF"/>
      <rgbColor rgb="FFBE4B48"/>
      <rgbColor rgb="FFFFF9C4"/>
      <rgbColor rgb="FFEAF0F6"/>
      <rgbColor rgb="FF660066"/>
      <rgbColor rgb="FFFF8080"/>
      <rgbColor rgb="FF0066CC"/>
      <rgbColor rgb="FFD0D5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8"/>
      <rgbColor rgb="FFD5F0DD"/>
      <rgbColor rgb="FFFFE9B5"/>
      <rgbColor rgb="FFFCE4E4"/>
      <rgbColor rgb="FFFF99CC"/>
      <rgbColor rgb="FFCC99FF"/>
      <rgbColor rgb="FFF8B4B4"/>
      <rgbColor rgb="FF4A7EBB"/>
      <rgbColor rgb="FF46AAC4"/>
      <rgbColor rgb="FF98B855"/>
      <rgbColor rgb="FFFFCC00"/>
      <rgbColor rgb="FFFF9900"/>
      <rgbColor rgb="FFFF6600"/>
      <rgbColor rgb="FF7D5FA0"/>
      <rgbColor rgb="FF4F81BD"/>
      <rgbColor rgb="FF003366"/>
      <rgbColor rgb="FF1E8449"/>
      <rgbColor rgb="FF003300"/>
      <rgbColor rgb="FF333300"/>
      <rgbColor rgb="FFC0392B"/>
      <rgbColor rgb="FFC0504D"/>
      <rgbColor rgb="FF333399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Production index (base year = 100, Japan omitted)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'Market Trends'!B18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4a7ebb"/>
            </a:solidFill>
            <a:ln w="2196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'Market Trends'!$A$19:$A$29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'Market Trends'!$B$19:$B$29</c:f>
              <c:numCache>
                <c:formatCode>0.0</c:formatCode>
                <c:ptCount val="11"/>
                <c:pt idx="0">
                  <c:v>100</c:v>
                </c:pt>
                <c:pt idx="1">
                  <c:v>96.7113245050208</c:v>
                </c:pt>
                <c:pt idx="2">
                  <c:v>88.0404760060921</c:v>
                </c:pt>
                <c:pt idx="3">
                  <c:v>90.9574330777769</c:v>
                </c:pt>
                <c:pt idx="4">
                  <c:v>95.4516120705232</c:v>
                </c:pt>
                <c:pt idx="5">
                  <c:v>99.2875396886858</c:v>
                </c:pt>
                <c:pt idx="6">
                  <c:v>100.715041689254</c:v>
                </c:pt>
                <c:pt idx="7">
                  <c:v>106.502491029712</c:v>
                </c:pt>
                <c:pt idx="8">
                  <c:v>117.674694752059</c:v>
                </c:pt>
                <c:pt idx="9">
                  <c:v>121.926224218488</c:v>
                </c:pt>
                <c:pt idx="10">
                  <c:v>123.389865510209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'Market Trends'!C18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rgbClr val="be4b48"/>
            </a:solidFill>
            <a:ln w="2196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'Market Trends'!$A$19:$A$29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'Market Trends'!$C$19:$C$29</c:f>
              <c:numCache>
                <c:formatCode>0.0</c:formatCode>
                <c:ptCount val="11"/>
                <c:pt idx="0">
                  <c:v>100</c:v>
                </c:pt>
                <c:pt idx="1">
                  <c:v>104.333023831631</c:v>
                </c:pt>
                <c:pt idx="2">
                  <c:v>106.747137109254</c:v>
                </c:pt>
                <c:pt idx="3">
                  <c:v>110.136180748994</c:v>
                </c:pt>
                <c:pt idx="4">
                  <c:v>117.67254719901</c:v>
                </c:pt>
                <c:pt idx="5">
                  <c:v>116.666666666667</c:v>
                </c:pt>
                <c:pt idx="6">
                  <c:v>117.641597028784</c:v>
                </c:pt>
                <c:pt idx="7">
                  <c:v>125.673166202414</c:v>
                </c:pt>
                <c:pt idx="8">
                  <c:v>140.947075208914</c:v>
                </c:pt>
                <c:pt idx="9">
                  <c:v>156.499535747447</c:v>
                </c:pt>
                <c:pt idx="10">
                  <c:v>167.920148560817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'Market Trends'!D18</c:f>
              <c:strCache>
                <c:ptCount val="1"/>
                <c:pt idx="0">
                  <c:v>Indonesia</c:v>
                </c:pt>
              </c:strCache>
            </c:strRef>
          </c:tx>
          <c:spPr>
            <a:solidFill>
              <a:srgbClr val="98b855"/>
            </a:solidFill>
            <a:ln w="2196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'Market Trends'!$A$19:$A$29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'Market Trends'!$D$19:$D$29</c:f>
              <c:numCache>
                <c:formatCode>0.0</c:formatCode>
                <c:ptCount val="11"/>
                <c:pt idx="0">
                  <c:v>100</c:v>
                </c:pt>
                <c:pt idx="1">
                  <c:v>100.764025321982</c:v>
                </c:pt>
                <c:pt idx="2">
                  <c:v>100.676708142327</c:v>
                </c:pt>
                <c:pt idx="3">
                  <c:v>100.676708142327</c:v>
                </c:pt>
                <c:pt idx="4">
                  <c:v>121.763807029033</c:v>
                </c:pt>
                <c:pt idx="5">
                  <c:v>134.512115258677</c:v>
                </c:pt>
                <c:pt idx="6">
                  <c:v>123.051735428946</c:v>
                </c:pt>
                <c:pt idx="7">
                  <c:v>134.031870770574</c:v>
                </c:pt>
                <c:pt idx="8">
                  <c:v>150.054573237284</c:v>
                </c:pt>
                <c:pt idx="9">
                  <c:v>169.220694171578</c:v>
                </c:pt>
                <c:pt idx="10">
                  <c:v>182.514734774067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'Market Trends'!E18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rgbClr val="7d5fa0"/>
            </a:solidFill>
            <a:ln w="2196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'Market Trends'!$A$19:$A$29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'Market Trends'!$E$19:$E$29</c:f>
              <c:numCache>
                <c:formatCode>0.0</c:formatCode>
                <c:ptCount val="11"/>
                <c:pt idx="0">
                  <c:v>100</c:v>
                </c:pt>
                <c:pt idx="1">
                  <c:v>99.6833564219276</c:v>
                </c:pt>
                <c:pt idx="2">
                  <c:v>99.3667128438551</c:v>
                </c:pt>
                <c:pt idx="3">
                  <c:v>96.4179695230556</c:v>
                </c:pt>
                <c:pt idx="4">
                  <c:v>99.3469226202256</c:v>
                </c:pt>
                <c:pt idx="5">
                  <c:v>100.01979022363</c:v>
                </c:pt>
                <c:pt idx="6">
                  <c:v>92.5984563625569</c:v>
                </c:pt>
                <c:pt idx="7">
                  <c:v>94.7555907381753</c:v>
                </c:pt>
                <c:pt idx="8">
                  <c:v>90.7381753413814</c:v>
                </c:pt>
                <c:pt idx="9">
                  <c:v>91.1141895903424</c:v>
                </c:pt>
                <c:pt idx="10">
                  <c:v>91.6089451810805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359279"/>
        <c:axId val="43336395"/>
      </c:lineChart>
      <c:catAx>
        <c:axId val="1359279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336395"/>
        <c:crosses val="autoZero"/>
        <c:auto val="1"/>
        <c:lblAlgn val="ctr"/>
        <c:lblOffset val="100"/>
        <c:noMultiLvlLbl val="0"/>
      </c:catAx>
      <c:valAx>
        <c:axId val="433363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5927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Consumption index (base year = 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'Market Trends'!I18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4a7ebb"/>
            </a:solidFill>
            <a:ln w="2196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'Market Trends'!$H$19:$H$29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'Market Trends'!$I$19:$I$29</c:f>
              <c:numCache>
                <c:formatCode>0.0</c:formatCode>
                <c:ptCount val="11"/>
                <c:pt idx="0">
                  <c:v>100</c:v>
                </c:pt>
                <c:pt idx="1">
                  <c:v>99.5755003032141</c:v>
                </c:pt>
                <c:pt idx="2">
                  <c:v>97.4893875075803</c:v>
                </c:pt>
                <c:pt idx="3">
                  <c:v>94.639175257732</c:v>
                </c:pt>
                <c:pt idx="4">
                  <c:v>95.6943602183141</c:v>
                </c:pt>
                <c:pt idx="5">
                  <c:v>97.5985445724682</c:v>
                </c:pt>
                <c:pt idx="6">
                  <c:v>100.084899939357</c:v>
                </c:pt>
                <c:pt idx="7">
                  <c:v>102.183141297756</c:v>
                </c:pt>
                <c:pt idx="8">
                  <c:v>106.173438447544</c:v>
                </c:pt>
                <c:pt idx="9">
                  <c:v>106.525166767738</c:v>
                </c:pt>
                <c:pt idx="10">
                  <c:v>111.776834445118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'Market Trends'!J18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rgbClr val="be4b48"/>
            </a:solidFill>
            <a:ln w="2196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'Market Trends'!$H$19:$H$29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'Market Trends'!$J$19:$J$29</c:f>
              <c:numCache>
                <c:formatCode>0.0</c:formatCode>
                <c:ptCount val="11"/>
                <c:pt idx="0">
                  <c:v>100</c:v>
                </c:pt>
                <c:pt idx="1">
                  <c:v>109.695290858726</c:v>
                </c:pt>
                <c:pt idx="2">
                  <c:v>111.980609418283</c:v>
                </c:pt>
                <c:pt idx="3">
                  <c:v>114.404432132964</c:v>
                </c:pt>
                <c:pt idx="4">
                  <c:v>118.074792243767</c:v>
                </c:pt>
                <c:pt idx="5">
                  <c:v>124.168975069252</c:v>
                </c:pt>
                <c:pt idx="6">
                  <c:v>124.376731301939</c:v>
                </c:pt>
                <c:pt idx="7">
                  <c:v>117.520775623269</c:v>
                </c:pt>
                <c:pt idx="8">
                  <c:v>133.448753462604</c:v>
                </c:pt>
                <c:pt idx="9">
                  <c:v>138.711911357341</c:v>
                </c:pt>
                <c:pt idx="10">
                  <c:v>159.072022160665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'Market Trends'!K18</c:f>
              <c:strCache>
                <c:ptCount val="1"/>
                <c:pt idx="0">
                  <c:v>Indonesia</c:v>
                </c:pt>
              </c:strCache>
            </c:strRef>
          </c:tx>
          <c:spPr>
            <a:solidFill>
              <a:srgbClr val="98b855"/>
            </a:solidFill>
            <a:ln w="2196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'Market Trends'!$H$19:$H$29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'Market Trends'!$K$19:$K$29</c:f>
              <c:numCache>
                <c:formatCode>0.0</c:formatCode>
                <c:ptCount val="11"/>
                <c:pt idx="0">
                  <c:v>100</c:v>
                </c:pt>
                <c:pt idx="1">
                  <c:v>106.289308176101</c:v>
                </c:pt>
                <c:pt idx="2">
                  <c:v>120.754716981132</c:v>
                </c:pt>
                <c:pt idx="3">
                  <c:v>123.270440251572</c:v>
                </c:pt>
                <c:pt idx="4">
                  <c:v>128.301886792453</c:v>
                </c:pt>
                <c:pt idx="5">
                  <c:v>148.427672955975</c:v>
                </c:pt>
                <c:pt idx="6">
                  <c:v>181.132075471698</c:v>
                </c:pt>
                <c:pt idx="7">
                  <c:v>173.584905660377</c:v>
                </c:pt>
                <c:pt idx="8">
                  <c:v>172.955974842767</c:v>
                </c:pt>
                <c:pt idx="9">
                  <c:v>275.471698113208</c:v>
                </c:pt>
                <c:pt idx="10">
                  <c:v>296.85534591195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'Market Trends'!L18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rgbClr val="7d5fa0"/>
            </a:solidFill>
            <a:ln w="2196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'Market Trends'!$H$19:$H$29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'Market Trends'!$L$19:$L$29</c:f>
              <c:numCache>
                <c:formatCode>0.0</c:formatCode>
                <c:ptCount val="11"/>
                <c:pt idx="0">
                  <c:v>100</c:v>
                </c:pt>
                <c:pt idx="1">
                  <c:v>99.4708994708995</c:v>
                </c:pt>
                <c:pt idx="2">
                  <c:v>103.174603174603</c:v>
                </c:pt>
                <c:pt idx="3">
                  <c:v>102.645502645503</c:v>
                </c:pt>
                <c:pt idx="4">
                  <c:v>99.4708994708995</c:v>
                </c:pt>
                <c:pt idx="5">
                  <c:v>96.8253968253968</c:v>
                </c:pt>
                <c:pt idx="6">
                  <c:v>92.5925925925926</c:v>
                </c:pt>
                <c:pt idx="7">
                  <c:v>89.4179894179894</c:v>
                </c:pt>
                <c:pt idx="8">
                  <c:v>86.2433862433862</c:v>
                </c:pt>
                <c:pt idx="9">
                  <c:v>81.4814814814815</c:v>
                </c:pt>
                <c:pt idx="10">
                  <c:v>80.4232804232804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'Market Trends'!M18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rgbClr val="46aac4"/>
            </a:solidFill>
            <a:ln w="2196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'Market Trends'!$H$19:$H$29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'Market Trends'!$M$19:$M$29</c:f>
              <c:numCache>
                <c:formatCode>0.0</c:formatCode>
                <c:ptCount val="11"/>
                <c:pt idx="0">
                  <c:v>100</c:v>
                </c:pt>
                <c:pt idx="1">
                  <c:v>98.422090729783</c:v>
                </c:pt>
                <c:pt idx="2">
                  <c:v>99.2110453648915</c:v>
                </c:pt>
                <c:pt idx="3">
                  <c:v>99.0138067061144</c:v>
                </c:pt>
                <c:pt idx="4">
                  <c:v>100.591715976331</c:v>
                </c:pt>
                <c:pt idx="5">
                  <c:v>98.422090729783</c:v>
                </c:pt>
                <c:pt idx="6">
                  <c:v>96.8441814595661</c:v>
                </c:pt>
                <c:pt idx="7">
                  <c:v>90.138067061144</c:v>
                </c:pt>
                <c:pt idx="8">
                  <c:v>97.2386587771203</c:v>
                </c:pt>
                <c:pt idx="9">
                  <c:v>97.0414201183432</c:v>
                </c:pt>
                <c:pt idx="10">
                  <c:v>89.3491124260355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978080"/>
        <c:axId val="40251693"/>
      </c:lineChart>
      <c:catAx>
        <c:axId val="4097808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251693"/>
        <c:crosses val="autoZero"/>
        <c:auto val="1"/>
        <c:lblAlgn val="ctr"/>
        <c:lblOffset val="100"/>
        <c:noMultiLvlLbl val="0"/>
      </c:catAx>
      <c:valAx>
        <c:axId val="402516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97808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Selected coal trade, prior vs latest year (EJ)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'Trade Analysis'!C7</c:f>
              <c:strCache>
                <c:ptCount val="1"/>
                <c:pt idx="0">
                  <c:v>Prior year volume (EJ)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'Trade Analysis'!$B$8:$B$14</c:f>
              <c:strCache>
                <c:ptCount val="7"/>
                <c:pt idx="0">
                  <c:v>Indonesia</c:v>
                </c:pt>
                <c:pt idx="1">
                  <c:v>Australia</c:v>
                </c:pt>
                <c:pt idx="2">
                  <c:v>Russian Federation</c:v>
                </c:pt>
                <c:pt idx="3">
                  <c:v>China</c:v>
                </c:pt>
                <c:pt idx="4">
                  <c:v>India</c:v>
                </c:pt>
                <c:pt idx="5">
                  <c:v>Japan</c:v>
                </c:pt>
                <c:pt idx="6">
                  <c:v>South Korea</c:v>
                </c:pt>
              </c:strCache>
            </c:strRef>
          </c:cat>
          <c:val>
            <c:numRef>
              <c:f>'Trade Analysis'!$C$8:$C$14</c:f>
              <c:numCache>
                <c:formatCode>0.00</c:formatCode>
                <c:ptCount val="7"/>
                <c:pt idx="0">
                  <c:v>10</c:v>
                </c:pt>
                <c:pt idx="1">
                  <c:v>9</c:v>
                </c:pt>
                <c:pt idx="2">
                  <c:v>5.39</c:v>
                </c:pt>
                <c:pt idx="3">
                  <c:v>10.16</c:v>
                </c:pt>
                <c:pt idx="4">
                  <c:v>5.35</c:v>
                </c:pt>
                <c:pt idx="5">
                  <c:v>4.39</c:v>
                </c:pt>
                <c:pt idx="6">
                  <c:v>3.19</c:v>
                </c:pt>
              </c:numCache>
            </c:numRef>
          </c:val>
        </c:ser>
        <c:ser>
          <c:idx val="1"/>
          <c:order val="1"/>
          <c:tx>
            <c:strRef>
              <c:f>'Trade Analysis'!D7</c:f>
              <c:strCache>
                <c:ptCount val="1"/>
                <c:pt idx="0">
                  <c:v>Latest volume (EJ)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'Trade Analysis'!$B$8:$B$14</c:f>
              <c:strCache>
                <c:ptCount val="7"/>
                <c:pt idx="0">
                  <c:v>Indonesia</c:v>
                </c:pt>
                <c:pt idx="1">
                  <c:v>Australia</c:v>
                </c:pt>
                <c:pt idx="2">
                  <c:v>Russian Federation</c:v>
                </c:pt>
                <c:pt idx="3">
                  <c:v>China</c:v>
                </c:pt>
                <c:pt idx="4">
                  <c:v>India</c:v>
                </c:pt>
                <c:pt idx="5">
                  <c:v>Japan</c:v>
                </c:pt>
                <c:pt idx="6">
                  <c:v>South Korea</c:v>
                </c:pt>
              </c:strCache>
            </c:strRef>
          </c:cat>
          <c:val>
            <c:numRef>
              <c:f>'Trade Analysis'!$D$8:$D$14</c:f>
              <c:numCache>
                <c:formatCode>0.00</c:formatCode>
                <c:ptCount val="7"/>
                <c:pt idx="0">
                  <c:v>10.72</c:v>
                </c:pt>
                <c:pt idx="1">
                  <c:v>9.07</c:v>
                </c:pt>
                <c:pt idx="3">
                  <c:v>11.62</c:v>
                </c:pt>
                <c:pt idx="4">
                  <c:v>5.3</c:v>
                </c:pt>
                <c:pt idx="5">
                  <c:v>4.35</c:v>
                </c:pt>
                <c:pt idx="6">
                  <c:v>3.07</c:v>
                </c:pt>
              </c:numCache>
            </c:numRef>
          </c:val>
        </c:ser>
        <c:gapWidth val="150"/>
        <c:overlap val="0"/>
        <c:axId val="31540206"/>
        <c:axId val="86198245"/>
      </c:barChart>
      <c:catAx>
        <c:axId val="315402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198245"/>
        <c:crosses val="autoZero"/>
        <c:auto val="1"/>
        <c:lblAlgn val="ctr"/>
        <c:lblOffset val="100"/>
        <c:noMultiLvlLbl val="0"/>
      </c:catAx>
      <c:valAx>
        <c:axId val="861982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EJ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54020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Australian thermal coal price (USD/t)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'Price Analysis'!B6</c:f>
              <c:strCache>
                <c:ptCount val="1"/>
                <c:pt idx="0">
                  <c:v>Price (USD/t)</c:v>
                </c:pt>
              </c:strCache>
            </c:strRef>
          </c:tx>
          <c:spPr>
            <a:solidFill>
              <a:srgbClr val="4a7ebb"/>
            </a:solidFill>
            <a:ln w="2196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'Price Analysis'!$A$7:$A$11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'Price Analysis'!$B$7:$B$11</c:f>
              <c:numCache>
                <c:formatCode>0.0</c:formatCode>
                <c:ptCount val="5"/>
                <c:pt idx="0">
                  <c:v>138.1</c:v>
                </c:pt>
                <c:pt idx="1">
                  <c:v>344.9</c:v>
                </c:pt>
                <c:pt idx="2">
                  <c:v>172.8</c:v>
                </c:pt>
                <c:pt idx="3">
                  <c:v>136.1</c:v>
                </c:pt>
                <c:pt idx="4">
                  <c:v>108.4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3559049"/>
        <c:axId val="86997214"/>
      </c:lineChart>
      <c:catAx>
        <c:axId val="43559049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97214"/>
        <c:crosses val="autoZero"/>
        <c:auto val="1"/>
        <c:lblAlgn val="ctr"/>
        <c:lblOffset val="100"/>
        <c:noMultiLvlLbl val="0"/>
      </c:catAx>
      <c:valAx>
        <c:axId val="869972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per tonne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55904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6</xdr:col>
      <xdr:colOff>597240</xdr:colOff>
      <xdr:row>22</xdr:row>
      <xdr:rowOff>94320</xdr:rowOff>
    </xdr:to>
    <xdr:graphicFrame>
      <xdr:nvGraphicFramePr>
        <xdr:cNvPr id="0" name="Chart 1"/>
        <xdr:cNvGraphicFramePr/>
      </xdr:nvGraphicFramePr>
      <xdr:xfrm>
        <a:off x="0" y="1657440"/>
        <a:ext cx="503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7</xdr:row>
      <xdr:rowOff>0</xdr:rowOff>
    </xdr:from>
    <xdr:to>
      <xdr:col>13</xdr:col>
      <xdr:colOff>597240</xdr:colOff>
      <xdr:row>22</xdr:row>
      <xdr:rowOff>94320</xdr:rowOff>
    </xdr:to>
    <xdr:graphicFrame>
      <xdr:nvGraphicFramePr>
        <xdr:cNvPr id="1" name="Chart 2"/>
        <xdr:cNvGraphicFramePr/>
      </xdr:nvGraphicFramePr>
      <xdr:xfrm>
        <a:off x="5182920" y="1657440"/>
        <a:ext cx="503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24</xdr:row>
      <xdr:rowOff>0</xdr:rowOff>
    </xdr:from>
    <xdr:to>
      <xdr:col>6</xdr:col>
      <xdr:colOff>597240</xdr:colOff>
      <xdr:row>39</xdr:row>
      <xdr:rowOff>94320</xdr:rowOff>
    </xdr:to>
    <xdr:graphicFrame>
      <xdr:nvGraphicFramePr>
        <xdr:cNvPr id="2" name="Chart 3"/>
        <xdr:cNvGraphicFramePr/>
      </xdr:nvGraphicFramePr>
      <xdr:xfrm>
        <a:off x="0" y="4896000"/>
        <a:ext cx="503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24</xdr:row>
      <xdr:rowOff>0</xdr:rowOff>
    </xdr:from>
    <xdr:to>
      <xdr:col>13</xdr:col>
      <xdr:colOff>597240</xdr:colOff>
      <xdr:row>39</xdr:row>
      <xdr:rowOff>94320</xdr:rowOff>
    </xdr:to>
    <xdr:graphicFrame>
      <xdr:nvGraphicFramePr>
        <xdr:cNvPr id="3" name="Chart 4"/>
        <xdr:cNvGraphicFramePr/>
      </xdr:nvGraphicFramePr>
      <xdr:xfrm>
        <a:off x="5182920" y="4896000"/>
        <a:ext cx="503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Market" displayName="tblMarket" ref="A1:E56" headerRowCount="1" totalsRowCount="0" totalsRowShown="0">
  <autoFilter ref="A1:E56"/>
  <tableColumns count="5">
    <tableColumn id="1" name="Year"/>
    <tableColumn id="2" name="Country"/>
    <tableColumn id="3" name="Production_Mt"/>
    <tableColumn id="4" name="Consumption_EJ"/>
    <tableColumn id="5" name="Key"/>
  </tableColumns>
</table>
</file>

<file path=xl/tables/table2.xml><?xml version="1.0" encoding="utf-8"?>
<table xmlns="http://schemas.openxmlformats.org/spreadsheetml/2006/main" id="2" name="tblTrade" displayName="tblTrade" ref="A1:F14" headerRowCount="1" totalsRowCount="0" totalsRowShown="0">
  <autoFilter ref="A1:F14"/>
  <tableColumns count="6">
    <tableColumn id="1" name="Year"/>
    <tableColumn id="2" name="Trade_Role"/>
    <tableColumn id="3" name="Country"/>
    <tableColumn id="4" name="Trade_EJ"/>
    <tableColumn id="5" name="Share_of_World_Trade_pct"/>
    <tableColumn id="6" name="Implied_World_Trade_EJ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4"/>
    <col collapsed="false" customWidth="true" hidden="false" outlineLevel="0" max="3" min="3" style="0" width="62"/>
  </cols>
  <sheetData>
    <row r="1" customFormat="false" ht="25.5" hidden="false" customHeight="tru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3" t="s">
        <v>1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24" hidden="false" customHeight="true" outlineLevel="0" collapsed="false">
      <c r="A4" s="4" t="s">
        <v>2</v>
      </c>
      <c r="B4" s="4" t="s">
        <v>3</v>
      </c>
      <c r="C4" s="4" t="s">
        <v>4</v>
      </c>
    </row>
    <row r="5" customFormat="false" ht="15" hidden="false" customHeight="false" outlineLevel="0" collapsed="false">
      <c r="A5" s="5" t="s">
        <v>5</v>
      </c>
      <c r="B5" s="6" t="n">
        <f aca="false">'Market Trends'!$B$5</f>
        <v>2024</v>
      </c>
      <c r="C5" s="7" t="s">
        <v>6</v>
      </c>
    </row>
    <row r="6" customFormat="false" ht="15" hidden="false" customHeight="false" outlineLevel="0" collapsed="false">
      <c r="A6" s="5" t="s">
        <v>7</v>
      </c>
      <c r="B6" s="8" t="str">
        <f aca="false">INDEX('Market Trends'!$A$9:$A$13,MATCH(MAX('Market Trends'!$D$9:$D$13),'Market Trends'!$D$9:$D$13,0))</f>
        <v>China</v>
      </c>
      <c r="C6" s="7" t="s">
        <v>8</v>
      </c>
    </row>
    <row r="7" customFormat="false" ht="15" hidden="false" customHeight="false" outlineLevel="0" collapsed="false">
      <c r="A7" s="9" t="s">
        <v>9</v>
      </c>
      <c r="B7" s="10" t="n">
        <f aca="false">MAX('Market Trends'!$D$9:$D$13)</f>
        <v>4780</v>
      </c>
      <c r="C7" s="7" t="s">
        <v>10</v>
      </c>
    </row>
    <row r="8" customFormat="false" ht="15" hidden="false" customHeight="false" outlineLevel="0" collapsed="false">
      <c r="A8" s="9" t="s">
        <v>11</v>
      </c>
      <c r="B8" s="11" t="n">
        <f aca="false">MAX('Market Trends'!$G$9:$G$13)</f>
        <v>0.667169137146526</v>
      </c>
      <c r="C8" s="7" t="s">
        <v>12</v>
      </c>
    </row>
    <row r="9" customFormat="false" ht="15" hidden="false" customHeight="false" outlineLevel="0" collapsed="false">
      <c r="A9" s="5" t="s">
        <v>13</v>
      </c>
      <c r="B9" s="8" t="str">
        <f aca="false">INDEX('Market Trends'!$A$9:$A$13,MATCH(MAX('Market Trends'!$E$9:$E$13),'Market Trends'!$E$9:$E$13,0))</f>
        <v>Indonesia</v>
      </c>
      <c r="C9" s="7" t="s">
        <v>14</v>
      </c>
    </row>
    <row r="10" customFormat="false" ht="15" hidden="false" customHeight="false" outlineLevel="0" collapsed="false">
      <c r="A10" s="9" t="s">
        <v>15</v>
      </c>
      <c r="B10" s="11" t="n">
        <f aca="false">MAX('Market Trends'!$E$9:$E$13)</f>
        <v>0.0620129027481728</v>
      </c>
      <c r="C10" s="7"/>
    </row>
    <row r="11" customFormat="false" ht="15" hidden="false" customHeight="false" outlineLevel="0" collapsed="false">
      <c r="A11" s="5" t="s">
        <v>16</v>
      </c>
      <c r="B11" s="8" t="str">
        <f aca="false">INDEX('Market Trends'!$A$9:$A$13,MATCH(MAX('Market Trends'!$K$9:$K$13),'Market Trends'!$K$9:$K$13,0))</f>
        <v>Indonesia</v>
      </c>
      <c r="C11" s="7" t="s">
        <v>17</v>
      </c>
    </row>
    <row r="12" customFormat="false" ht="15" hidden="false" customHeight="false" outlineLevel="0" collapsed="false">
      <c r="A12" s="9" t="s">
        <v>18</v>
      </c>
      <c r="B12" s="11" t="n">
        <f aca="false">MAX('Market Trends'!$K$9:$K$13)</f>
        <v>0.114947678095916</v>
      </c>
      <c r="C12" s="7"/>
    </row>
    <row r="13" customFormat="false" ht="15" hidden="false" customHeight="false" outlineLevel="0" collapsed="false">
      <c r="A13" s="5" t="s">
        <v>19</v>
      </c>
      <c r="B13" s="8" t="str">
        <f aca="false">INDEX('Trade Analysis'!$B$11:$B$14,MATCH(MAX('Trade Analysis'!$D$11:$D$14),'Trade Analysis'!$D$11:$D$14,0))</f>
        <v>China</v>
      </c>
      <c r="C13" s="7" t="s">
        <v>20</v>
      </c>
    </row>
    <row r="14" customFormat="false" ht="15" hidden="false" customHeight="false" outlineLevel="0" collapsed="false">
      <c r="A14" s="9" t="s">
        <v>21</v>
      </c>
      <c r="B14" s="12" t="n">
        <f aca="false">MAX('Trade Analysis'!$D$11:$D$14)</f>
        <v>11.62</v>
      </c>
      <c r="C14" s="7"/>
    </row>
    <row r="15" customFormat="false" ht="15" hidden="false" customHeight="false" outlineLevel="0" collapsed="false">
      <c r="A15" s="9" t="s">
        <v>22</v>
      </c>
      <c r="B15" s="11" t="n">
        <f aca="false">INDEX('Trade Analysis'!$G$11:$G$14,MATCH(MAX('Trade Analysis'!$D$11:$D$14),'Trade Analysis'!$D$11:$D$14,0))/100</f>
        <v>0.323</v>
      </c>
      <c r="C15" s="7"/>
    </row>
    <row r="16" customFormat="false" ht="15" hidden="false" customHeight="false" outlineLevel="0" collapsed="false">
      <c r="A16" s="5" t="s">
        <v>23</v>
      </c>
      <c r="B16" s="8" t="str">
        <f aca="false">INDEX('Trade Analysis'!$B$8:$B$10,MATCH(MAX('Trade Analysis'!$D$8:$D$10),'Trade Analysis'!$D$8:$D$10,0))</f>
        <v>Indonesia</v>
      </c>
      <c r="C16" s="7" t="s">
        <v>24</v>
      </c>
    </row>
    <row r="17" customFormat="false" ht="15" hidden="false" customHeight="false" outlineLevel="0" collapsed="false">
      <c r="A17" s="9" t="s">
        <v>25</v>
      </c>
      <c r="B17" s="12" t="n">
        <f aca="false">MAX('Trade Analysis'!$D$8:$D$10)</f>
        <v>10.72</v>
      </c>
      <c r="C17" s="7"/>
    </row>
    <row r="18" customFormat="false" ht="15" hidden="false" customHeight="false" outlineLevel="0" collapsed="false">
      <c r="A18" s="9" t="s">
        <v>22</v>
      </c>
      <c r="B18" s="11" t="n">
        <f aca="false">INDEX('Trade Analysis'!$G$8:$G$10,MATCH(MAX('Trade Analysis'!$D$8:$D$10),'Trade Analysis'!$D$8:$D$10,0))/100</f>
        <v>0.298</v>
      </c>
      <c r="C18" s="7"/>
    </row>
    <row r="19" customFormat="false" ht="15" hidden="false" customHeight="false" outlineLevel="0" collapsed="false">
      <c r="A19" s="5" t="s">
        <v>26</v>
      </c>
      <c r="B19" s="11" t="n">
        <f aca="false">'Trade Analysis'!$G$19/100</f>
        <v>0.55</v>
      </c>
      <c r="C19" s="7" t="s">
        <v>27</v>
      </c>
    </row>
    <row r="20" customFormat="false" ht="15" hidden="false" customHeight="false" outlineLevel="0" collapsed="false">
      <c r="A20" s="5" t="s">
        <v>28</v>
      </c>
      <c r="B20" s="11" t="n">
        <f aca="false">'Trade Analysis'!$G$18/100</f>
        <v>0.536</v>
      </c>
      <c r="C20" s="7" t="s">
        <v>29</v>
      </c>
    </row>
    <row r="21" customFormat="false" ht="15" hidden="false" customHeight="false" outlineLevel="0" collapsed="false">
      <c r="A21" s="5" t="s">
        <v>30</v>
      </c>
      <c r="B21" s="13" t="n">
        <f aca="false">'Price Analysis'!$B$16</f>
        <v>108.4</v>
      </c>
      <c r="C21" s="7" t="s">
        <v>31</v>
      </c>
    </row>
    <row r="22" customFormat="false" ht="15" hidden="false" customHeight="false" outlineLevel="0" collapsed="false">
      <c r="A22" s="5" t="s">
        <v>32</v>
      </c>
      <c r="B22" s="13" t="n">
        <f aca="false">'Price Analysis'!$B$14</f>
        <v>344.9</v>
      </c>
      <c r="C22" s="7" t="s">
        <v>33</v>
      </c>
    </row>
    <row r="23" customFormat="false" ht="15" hidden="false" customHeight="false" outlineLevel="0" collapsed="false">
      <c r="A23" s="5" t="s">
        <v>34</v>
      </c>
      <c r="B23" s="11" t="n">
        <f aca="false">'Price Analysis'!$B$17</f>
        <v>-0.685706001739635</v>
      </c>
      <c r="C23" s="7"/>
    </row>
    <row r="24" customFormat="false" ht="15" hidden="false" customHeight="false" outlineLevel="0" collapsed="false">
      <c r="A24" s="2"/>
      <c r="B24" s="2"/>
      <c r="C24" s="2"/>
    </row>
    <row r="25" customFormat="false" ht="15" hidden="false" customHeight="false" outlineLevel="0" collapsed="false">
      <c r="A25" s="14" t="s">
        <v>35</v>
      </c>
      <c r="B25" s="2"/>
      <c r="C25" s="2"/>
    </row>
    <row r="26" customFormat="false" ht="42" hidden="false" customHeight="true" outlineLevel="0" collapsed="false">
      <c r="A26" s="15" t="s">
        <v>36</v>
      </c>
      <c r="B26" s="15"/>
      <c r="C26" s="15"/>
    </row>
    <row r="27" customFormat="false" ht="42" hidden="false" customHeight="true" outlineLevel="0" collapsed="false">
      <c r="A27" s="15" t="s">
        <v>37</v>
      </c>
      <c r="B27" s="15"/>
      <c r="C27" s="15"/>
    </row>
    <row r="28" customFormat="false" ht="42" hidden="false" customHeight="true" outlineLevel="0" collapsed="false">
      <c r="A28" s="15" t="s">
        <v>38</v>
      </c>
      <c r="B28" s="15"/>
      <c r="C28" s="15"/>
    </row>
    <row r="29" customFormat="false" ht="42" hidden="false" customHeight="true" outlineLevel="0" collapsed="false">
      <c r="A29" s="15" t="s">
        <v>39</v>
      </c>
      <c r="B29" s="15"/>
      <c r="C29" s="15"/>
    </row>
    <row r="30" customFormat="false" ht="42" hidden="false" customHeight="true" outlineLevel="0" collapsed="false">
      <c r="A30" s="15" t="s">
        <v>40</v>
      </c>
      <c r="B30" s="15"/>
      <c r="C30" s="15"/>
    </row>
    <row r="31" customFormat="false" ht="42" hidden="false" customHeight="true" outlineLevel="0" collapsed="false">
      <c r="A31" s="15" t="s">
        <v>41</v>
      </c>
      <c r="B31" s="15"/>
      <c r="C31" s="15"/>
    </row>
    <row r="32" customFormat="false" ht="42" hidden="false" customHeight="true" outlineLevel="0" collapsed="false">
      <c r="A32" s="15" t="s">
        <v>42</v>
      </c>
      <c r="B32" s="15"/>
      <c r="C32" s="15"/>
    </row>
    <row r="33" customFormat="false" ht="42" hidden="false" customHeight="true" outlineLevel="0" collapsed="false">
      <c r="A33" s="15" t="s">
        <v>43</v>
      </c>
      <c r="B33" s="15"/>
      <c r="C33" s="15"/>
    </row>
    <row r="34" customFormat="false" ht="42" hidden="false" customHeight="true" outlineLevel="0" collapsed="false">
      <c r="A34" s="15" t="s">
        <v>44</v>
      </c>
      <c r="B34" s="15"/>
      <c r="C34" s="15"/>
    </row>
    <row r="35" customFormat="false" ht="15" hidden="false" customHeight="false" outlineLevel="0" collapsed="false">
      <c r="A35" s="2"/>
      <c r="B35" s="2"/>
      <c r="C35" s="2"/>
    </row>
    <row r="36" customFormat="false" ht="15" hidden="false" customHeight="false" outlineLevel="0" collapsed="false">
      <c r="A36" s="14" t="s">
        <v>45</v>
      </c>
      <c r="B36" s="2"/>
      <c r="C36" s="2"/>
    </row>
    <row r="37" customFormat="false" ht="15" hidden="false" customHeight="false" outlineLevel="0" collapsed="false">
      <c r="A37" s="9" t="s">
        <v>46</v>
      </c>
      <c r="B37" s="16" t="s">
        <v>6</v>
      </c>
      <c r="C37" s="16"/>
    </row>
    <row r="38" customFormat="false" ht="15" hidden="false" customHeight="false" outlineLevel="0" collapsed="false">
      <c r="A38" s="9" t="s">
        <v>47</v>
      </c>
      <c r="B38" s="16" t="s">
        <v>48</v>
      </c>
      <c r="C38" s="16"/>
    </row>
    <row r="39" customFormat="false" ht="15" hidden="false" customHeight="false" outlineLevel="0" collapsed="false">
      <c r="A39" s="9" t="s">
        <v>49</v>
      </c>
      <c r="B39" s="16" t="s">
        <v>50</v>
      </c>
      <c r="C39" s="16"/>
    </row>
    <row r="40" customFormat="false" ht="15" hidden="false" customHeight="false" outlineLevel="0" collapsed="false">
      <c r="A40" s="9" t="s">
        <v>51</v>
      </c>
      <c r="B40" s="16" t="s">
        <v>52</v>
      </c>
      <c r="C40" s="16"/>
    </row>
    <row r="41" customFormat="false" ht="15" hidden="false" customHeight="false" outlineLevel="0" collapsed="false">
      <c r="A41" s="9" t="s">
        <v>53</v>
      </c>
      <c r="B41" s="16" t="s">
        <v>54</v>
      </c>
      <c r="C41" s="16"/>
    </row>
    <row r="42" customFormat="false" ht="15" hidden="false" customHeight="false" outlineLevel="0" collapsed="false">
      <c r="A42" s="9" t="s">
        <v>55</v>
      </c>
      <c r="B42" s="16" t="s">
        <v>56</v>
      </c>
      <c r="C42" s="16"/>
    </row>
    <row r="43" customFormat="false" ht="15" hidden="false" customHeight="false" outlineLevel="0" collapsed="false">
      <c r="A43" s="2"/>
      <c r="B43" s="2"/>
      <c r="C43" s="2"/>
    </row>
    <row r="44" customFormat="false" ht="15" hidden="false" customHeight="false" outlineLevel="0" collapsed="false">
      <c r="A44" s="3" t="s">
        <v>57</v>
      </c>
      <c r="B44" s="2"/>
      <c r="C44" s="2"/>
    </row>
  </sheetData>
  <mergeCells count="15"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B37:C37"/>
    <mergeCell ref="B38:C38"/>
    <mergeCell ref="B39:C39"/>
    <mergeCell ref="B40:C40"/>
    <mergeCell ref="B41:C41"/>
    <mergeCell ref="B42:C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0.51"/>
  </cols>
  <sheetData>
    <row r="1" customFormat="false" ht="25.5" hidden="false" customHeight="true" outlineLevel="0" collapsed="false">
      <c r="A1" s="1" t="s">
        <v>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17" t="s">
        <v>7</v>
      </c>
      <c r="B4" s="18"/>
      <c r="C4" s="18"/>
      <c r="D4" s="17" t="s">
        <v>60</v>
      </c>
      <c r="E4" s="18"/>
      <c r="F4" s="18"/>
      <c r="G4" s="17" t="s">
        <v>19</v>
      </c>
      <c r="H4" s="18"/>
      <c r="I4" s="18"/>
      <c r="J4" s="17" t="s">
        <v>34</v>
      </c>
      <c r="K4" s="18"/>
      <c r="L4" s="18"/>
    </row>
    <row r="5" customFormat="false" ht="30" hidden="false" customHeight="true" outlineLevel="0" collapsed="false">
      <c r="A5" s="19" t="str">
        <f aca="false">'Executive Summary'!$B$6</f>
        <v>China</v>
      </c>
      <c r="B5" s="18"/>
      <c r="C5" s="18"/>
      <c r="D5" s="20" t="n">
        <f aca="false">'Executive Summary'!$B$8</f>
        <v>0.667169137146526</v>
      </c>
      <c r="E5" s="18"/>
      <c r="F5" s="18"/>
      <c r="G5" s="19" t="str">
        <f aca="false">'Executive Summary'!$B$13</f>
        <v>China</v>
      </c>
      <c r="H5" s="18"/>
      <c r="I5" s="18"/>
      <c r="J5" s="20" t="n">
        <f aca="false">'Executive Summary'!$B$23</f>
        <v>-0.685706001739635</v>
      </c>
      <c r="K5" s="18"/>
      <c r="L5" s="18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customFormat="false" ht="15" hidden="false" customHeight="false" outlineLevel="0" collapsed="false">
      <c r="A41" s="3" t="s">
        <v>61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3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10" min="8" style="0" width="13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4" min="14" style="0" width="18"/>
    <col collapsed="false" customWidth="true" hidden="false" outlineLevel="0" max="15" min="15" style="0" width="11"/>
    <col collapsed="false" customWidth="true" hidden="false" outlineLevel="0" max="16" min="16" style="0" width="12"/>
    <col collapsed="false" customWidth="true" hidden="false" outlineLevel="0" max="17" min="17" style="0" width="28"/>
    <col collapsed="false" customWidth="true" hidden="false" outlineLevel="0" max="19" min="18" style="0" width="14"/>
  </cols>
  <sheetData>
    <row r="1" customFormat="false" ht="25.5" hidden="false" customHeight="true" outlineLevel="0" collapsed="false">
      <c r="A1" s="1" t="s">
        <v>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5" hidden="false" customHeight="false" outlineLevel="0" collapsed="false">
      <c r="A2" s="3" t="s">
        <v>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5" hidden="false" customHeight="false" outlineLevel="0" collapsed="false">
      <c r="A3" s="14" t="s">
        <v>64</v>
      </c>
      <c r="B3" s="21" t="n">
        <v>2014</v>
      </c>
      <c r="C3" s="3" t="s">
        <v>65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5" hidden="false" customHeight="false" outlineLevel="0" collapsed="false">
      <c r="A4" s="14" t="s">
        <v>66</v>
      </c>
      <c r="B4" s="21" t="n">
        <v>2019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5" hidden="false" customHeight="false" outlineLevel="0" collapsed="false">
      <c r="A5" s="14" t="s">
        <v>67</v>
      </c>
      <c r="B5" s="21" t="n">
        <v>2024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5" hidden="false" customHeight="false" outlineLevel="0" collapsed="false">
      <c r="A6" s="14" t="s">
        <v>68</v>
      </c>
      <c r="B6" s="22" t="n">
        <v>0.02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customFormat="false" ht="61.5" hidden="false" customHeight="true" outlineLevel="0" collapsed="false">
      <c r="A8" s="4" t="s">
        <v>69</v>
      </c>
      <c r="B8" s="4" t="s">
        <v>70</v>
      </c>
      <c r="C8" s="4" t="s">
        <v>71</v>
      </c>
      <c r="D8" s="4" t="s">
        <v>72</v>
      </c>
      <c r="E8" s="4" t="s">
        <v>73</v>
      </c>
      <c r="F8" s="4" t="s">
        <v>74</v>
      </c>
      <c r="G8" s="4" t="s">
        <v>75</v>
      </c>
      <c r="H8" s="4" t="s">
        <v>76</v>
      </c>
      <c r="I8" s="4" t="s">
        <v>77</v>
      </c>
      <c r="J8" s="4" t="s">
        <v>78</v>
      </c>
      <c r="K8" s="4" t="s">
        <v>79</v>
      </c>
      <c r="L8" s="4" t="s">
        <v>80</v>
      </c>
      <c r="M8" s="4" t="s">
        <v>81</v>
      </c>
      <c r="N8" s="4" t="s">
        <v>82</v>
      </c>
      <c r="O8" s="4" t="s">
        <v>83</v>
      </c>
      <c r="P8" s="4" t="s">
        <v>84</v>
      </c>
      <c r="Q8" s="4" t="s">
        <v>85</v>
      </c>
      <c r="R8" s="4" t="s">
        <v>86</v>
      </c>
      <c r="S8" s="4" t="s">
        <v>87</v>
      </c>
    </row>
    <row r="9" customFormat="false" ht="15" hidden="false" customHeight="false" outlineLevel="0" collapsed="false">
      <c r="A9" s="23" t="s">
        <v>88</v>
      </c>
      <c r="B9" s="24" t="n">
        <f aca="false">SUMIFS(Data_Market!$C$2:$C$500,Data_Market!$B$2:$B$500,$A9,Data_Market!$A$2:$A$500,$B$3)</f>
        <v>3873.9</v>
      </c>
      <c r="C9" s="24" t="n">
        <f aca="false">SUMIFS(Data_Market!$C$2:$C$500,Data_Market!$B$2:$B$500,$A9,Data_Market!$A$2:$A$500,$B$4)</f>
        <v>3846.3</v>
      </c>
      <c r="D9" s="24" t="n">
        <f aca="false">SUMIFS(Data_Market!$C$2:$C$500,Data_Market!$B$2:$B$500,$A9,Data_Market!$A$2:$A$500,$B$5)</f>
        <v>4780</v>
      </c>
      <c r="E9" s="25" t="n">
        <f aca="false">IFERROR((D9/B9)^(1/($B$5-$B$3))-1,"n/a")</f>
        <v>0.021240310736836</v>
      </c>
      <c r="F9" s="25" t="n">
        <f aca="false">IFERROR((D9/C9)^(1/($B$5-$B$4))-1,"n/a")</f>
        <v>0.0444242533477108</v>
      </c>
      <c r="G9" s="25" t="n">
        <f aca="false">D9/D$14</f>
        <v>0.667169137146526</v>
      </c>
      <c r="H9" s="26" t="n">
        <f aca="false">SUMIFS(Data_Market!$D$2:$D$500,Data_Market!$B$2:$B$500,$A9,Data_Market!$A$2:$A$500,$B$3)</f>
        <v>82.45</v>
      </c>
      <c r="I9" s="26" t="n">
        <f aca="false">SUMIFS(Data_Market!$D$2:$D$500,Data_Market!$B$2:$B$500,$A9,Data_Market!$A$2:$A$500,$B$4)</f>
        <v>80.47</v>
      </c>
      <c r="J9" s="26" t="n">
        <f aca="false">SUMIFS(Data_Market!$D$2:$D$500,Data_Market!$B$2:$B$500,$A9,Data_Market!$A$2:$A$500,$B$5)</f>
        <v>92.16</v>
      </c>
      <c r="K9" s="25" t="n">
        <f aca="false">IFERROR((J9/H9)^(1/($B$5-$B$3))-1,"n/a")</f>
        <v>0.011195621901517</v>
      </c>
      <c r="L9" s="25" t="n">
        <f aca="false">IFERROR((J9/I9)^(1/($B$5-$B$4))-1,"n/a")</f>
        <v>0.0274996744568723</v>
      </c>
      <c r="M9" s="25" t="n">
        <f aca="false">J9/J$14</f>
        <v>0.732009531374106</v>
      </c>
      <c r="N9" s="27" t="n">
        <f aca="false">IFERROR((E9-K9)*100,"n/a")</f>
        <v>1.0044688835319</v>
      </c>
      <c r="O9" s="28" t="n">
        <f aca="false">RANK(D9,$D$9:$D$13)</f>
        <v>1</v>
      </c>
      <c r="P9" s="28" t="n">
        <f aca="false">RANK(J9,$J$9:$J$13)</f>
        <v>1</v>
      </c>
      <c r="Q9" s="9" t="str">
        <f aca="false">IF(AND(E9&gt;$B$6,K9&gt;$B$6),"Supply and demand growing",IF(AND(E9&lt;0,K9&lt;0),"Supply and demand contracting",IF(K9&gt;$B$6,"Demand-led growth",IF(E9&gt;$B$6,"Supply-led growth","Mixed / flat"))))</f>
        <v>Supply-led growth</v>
      </c>
      <c r="R9" s="25" t="n">
        <f aca="false">IFERROR(INDEX(Data_Market!$C$2:$C$500,MATCH($A9&amp;"|"&amp;$B$5,Data_Market!$E$2:$E$500,0))/INDEX(Data_Market!$C$2:$C$500,MATCH($A9&amp;"|"&amp;($B$5-1),Data_Market!$E$2:$E$500,0))-1,"n/a")</f>
        <v>0.0120043190142485</v>
      </c>
      <c r="S9" s="25" t="n">
        <f aca="false">IFERROR(INDEX(Data_Market!$D$2:$D$500,MATCH($A9&amp;"|"&amp;$B$5,Data_Market!$E$2:$E$500,0))/INDEX(Data_Market!$D$2:$D$500,MATCH($A9&amp;"|"&amp;($B$5-1),Data_Market!$E$2:$E$500,0))-1,"n/a")</f>
        <v>0.0492997836730047</v>
      </c>
    </row>
    <row r="10" customFormat="false" ht="15" hidden="false" customHeight="false" outlineLevel="0" collapsed="false">
      <c r="A10" s="23" t="s">
        <v>89</v>
      </c>
      <c r="B10" s="24" t="n">
        <f aca="false">SUMIFS(Data_Market!$C$2:$C$500,Data_Market!$B$2:$B$500,$A10,Data_Market!$A$2:$A$500,$B$3)</f>
        <v>646.2</v>
      </c>
      <c r="C10" s="24" t="n">
        <f aca="false">SUMIFS(Data_Market!$C$2:$C$500,Data_Market!$B$2:$B$500,$A10,Data_Market!$A$2:$A$500,$B$4)</f>
        <v>753.9</v>
      </c>
      <c r="D10" s="24" t="n">
        <f aca="false">SUMIFS(Data_Market!$C$2:$C$500,Data_Market!$B$2:$B$500,$A10,Data_Market!$A$2:$A$500,$B$5)</f>
        <v>1085.1</v>
      </c>
      <c r="E10" s="25" t="n">
        <f aca="false">IFERROR((D10/B10)^(1/($B$5-$B$3))-1,"n/a")</f>
        <v>0.0531986190277498</v>
      </c>
      <c r="F10" s="25" t="n">
        <f aca="false">IFERROR((D10/C10)^(1/($B$5-$B$4))-1,"n/a")</f>
        <v>0.0755514845095857</v>
      </c>
      <c r="G10" s="25" t="n">
        <f aca="false">D10/D$14</f>
        <v>0.151452977137593</v>
      </c>
      <c r="H10" s="26" t="n">
        <f aca="false">SUMIFS(Data_Market!$D$2:$D$500,Data_Market!$B$2:$B$500,$A10,Data_Market!$A$2:$A$500,$B$3)</f>
        <v>14.44</v>
      </c>
      <c r="I10" s="26" t="n">
        <f aca="false">SUMIFS(Data_Market!$D$2:$D$500,Data_Market!$B$2:$B$500,$A10,Data_Market!$A$2:$A$500,$B$4)</f>
        <v>17.93</v>
      </c>
      <c r="J10" s="26" t="n">
        <f aca="false">SUMIFS(Data_Market!$D$2:$D$500,Data_Market!$B$2:$B$500,$A10,Data_Market!$A$2:$A$500,$B$5)</f>
        <v>22.97</v>
      </c>
      <c r="K10" s="25" t="n">
        <f aca="false">IFERROR((J10/H10)^(1/($B$5-$B$3))-1,"n/a")</f>
        <v>0.0475129005756154</v>
      </c>
      <c r="L10" s="25" t="n">
        <f aca="false">IFERROR((J10/I10)^(1/($B$5-$B$4))-1,"n/a")</f>
        <v>0.0507905081533826</v>
      </c>
      <c r="M10" s="25" t="n">
        <f aca="false">J10/J$14</f>
        <v>0.182446386020651</v>
      </c>
      <c r="N10" s="27" t="n">
        <f aca="false">IFERROR((E10-K10)*100,"n/a")</f>
        <v>0.568571845213439</v>
      </c>
      <c r="O10" s="28" t="n">
        <f aca="false">RANK(D10,$D$9:$D$13)</f>
        <v>2</v>
      </c>
      <c r="P10" s="28" t="n">
        <f aca="false">RANK(J10,$J$9:$J$13)</f>
        <v>2</v>
      </c>
      <c r="Q10" s="9" t="str">
        <f aca="false">IF(AND(E10&gt;$B$6,K10&gt;$B$6),"Supply and demand growing",IF(AND(E10&lt;0,K10&lt;0),"Supply and demand contracting",IF(K10&gt;$B$6,"Demand-led growth",IF(E10&gt;$B$6,"Supply-led growth","Mixed / flat"))))</f>
        <v>Supply and demand growing</v>
      </c>
      <c r="R10" s="25" t="n">
        <f aca="false">IFERROR(INDEX(Data_Market!$C$2:$C$500,MATCH($A10&amp;"|"&amp;$B$5,Data_Market!$E$2:$E$500,0))/INDEX(Data_Market!$C$2:$C$500,MATCH($A10&amp;"|"&amp;($B$5-1),Data_Market!$E$2:$E$500,0))-1,"n/a")</f>
        <v>0.0729753782260456</v>
      </c>
      <c r="S10" s="25" t="n">
        <f aca="false">IFERROR(INDEX(Data_Market!$D$2:$D$500,MATCH($A10&amp;"|"&amp;$B$5,Data_Market!$E$2:$E$500,0))/INDEX(Data_Market!$D$2:$D$500,MATCH($A10&amp;"|"&amp;($B$5-1),Data_Market!$E$2:$E$500,0))-1,"n/a")</f>
        <v>0.146779830254618</v>
      </c>
    </row>
    <row r="11" customFormat="false" ht="15" hidden="false" customHeight="false" outlineLevel="0" collapsed="false">
      <c r="A11" s="23" t="s">
        <v>90</v>
      </c>
      <c r="B11" s="24" t="n">
        <f aca="false">SUMIFS(Data_Market!$C$2:$C$500,Data_Market!$B$2:$B$500,$A11,Data_Market!$A$2:$A$500,$B$3)</f>
        <v>458.1</v>
      </c>
      <c r="C11" s="24" t="n">
        <f aca="false">SUMIFS(Data_Market!$C$2:$C$500,Data_Market!$B$2:$B$500,$A11,Data_Market!$A$2:$A$500,$B$4)</f>
        <v>616.2</v>
      </c>
      <c r="D11" s="24" t="n">
        <f aca="false">SUMIFS(Data_Market!$C$2:$C$500,Data_Market!$B$2:$B$500,$A11,Data_Market!$A$2:$A$500,$B$5)</f>
        <v>836.1</v>
      </c>
      <c r="E11" s="25" t="n">
        <f aca="false">IFERROR((D11/B11)^(1/($B$5-$B$3))-1,"n/a")</f>
        <v>0.0620129027481728</v>
      </c>
      <c r="F11" s="25" t="n">
        <f aca="false">IFERROR((D11/C11)^(1/($B$5-$B$4))-1,"n/a")</f>
        <v>0.0629364643041728</v>
      </c>
      <c r="G11" s="25" t="n">
        <f aca="false">D11/D$14</f>
        <v>0.116698768947324</v>
      </c>
      <c r="H11" s="26" t="n">
        <f aca="false">SUMIFS(Data_Market!$D$2:$D$500,Data_Market!$B$2:$B$500,$A11,Data_Market!$A$2:$A$500,$B$3)</f>
        <v>1.59</v>
      </c>
      <c r="I11" s="26" t="n">
        <f aca="false">SUMIFS(Data_Market!$D$2:$D$500,Data_Market!$B$2:$B$500,$A11,Data_Market!$A$2:$A$500,$B$4)</f>
        <v>2.36</v>
      </c>
      <c r="J11" s="26" t="n">
        <f aca="false">SUMIFS(Data_Market!$D$2:$D$500,Data_Market!$B$2:$B$500,$A11,Data_Market!$A$2:$A$500,$B$5)</f>
        <v>4.72</v>
      </c>
      <c r="K11" s="25" t="n">
        <f aca="false">IFERROR((J11/H11)^(1/($B$5-$B$3))-1,"n/a")</f>
        <v>0.114947678095916</v>
      </c>
      <c r="L11" s="25" t="n">
        <f aca="false">IFERROR((J11/I11)^(1/($B$5-$B$4))-1,"n/a")</f>
        <v>0.148698354997035</v>
      </c>
      <c r="M11" s="25" t="n">
        <f aca="false">J11/J$14</f>
        <v>0.0374900714853058</v>
      </c>
      <c r="N11" s="27" t="n">
        <f aca="false">IFERROR((E11-K11)*100,"n/a")</f>
        <v>-5.29347753477427</v>
      </c>
      <c r="O11" s="28" t="n">
        <f aca="false">RANK(D11,$D$9:$D$13)</f>
        <v>3</v>
      </c>
      <c r="P11" s="28" t="n">
        <f aca="false">RANK(J11,$J$9:$J$13)</f>
        <v>3</v>
      </c>
      <c r="Q11" s="9" t="str">
        <f aca="false">IF(AND(E11&gt;$B$6,K11&gt;$B$6),"Supply and demand growing",IF(AND(E11&lt;0,K11&lt;0),"Supply and demand contracting",IF(K11&gt;$B$6,"Demand-led growth",IF(E11&gt;$B$6,"Supply-led growth","Mixed / flat"))))</f>
        <v>Supply and demand growing</v>
      </c>
      <c r="R11" s="25" t="n">
        <f aca="false">IFERROR(INDEX(Data_Market!$C$2:$C$500,MATCH($A11&amp;"|"&amp;$B$5,Data_Market!$E$2:$E$500,0))/INDEX(Data_Market!$C$2:$C$500,MATCH($A11&amp;"|"&amp;($B$5-1),Data_Market!$E$2:$E$500,0))-1,"n/a")</f>
        <v>0.0785603715170278</v>
      </c>
      <c r="S11" s="25" t="n">
        <f aca="false">IFERROR(INDEX(Data_Market!$D$2:$D$500,MATCH($A11&amp;"|"&amp;$B$5,Data_Market!$E$2:$E$500,0))/INDEX(Data_Market!$D$2:$D$500,MATCH($A11&amp;"|"&amp;($B$5-1),Data_Market!$E$2:$E$500,0))-1,"n/a")</f>
        <v>0.0776255707762557</v>
      </c>
    </row>
    <row r="12" customFormat="false" ht="15" hidden="false" customHeight="false" outlineLevel="0" collapsed="false">
      <c r="A12" s="23" t="s">
        <v>91</v>
      </c>
      <c r="B12" s="24" t="n">
        <f aca="false">SUMIFS(Data_Market!$C$2:$C$500,Data_Market!$B$2:$B$500,$A12,Data_Market!$A$2:$A$500,$B$3)</f>
        <v>505.3</v>
      </c>
      <c r="C12" s="24" t="n">
        <f aca="false">SUMIFS(Data_Market!$C$2:$C$500,Data_Market!$B$2:$B$500,$A12,Data_Market!$A$2:$A$500,$B$4)</f>
        <v>505.4</v>
      </c>
      <c r="D12" s="24" t="n">
        <f aca="false">SUMIFS(Data_Market!$C$2:$C$500,Data_Market!$B$2:$B$500,$A12,Data_Market!$A$2:$A$500,$B$5)</f>
        <v>462.9</v>
      </c>
      <c r="E12" s="25" t="n">
        <f aca="false">IFERROR((D12/B12)^(1/($B$5-$B$3))-1,"n/a")</f>
        <v>-0.00872583341996125</v>
      </c>
      <c r="F12" s="25" t="n">
        <f aca="false">IFERROR((D12/C12)^(1/($B$5-$B$4))-1,"n/a")</f>
        <v>-0.0174144147696884</v>
      </c>
      <c r="G12" s="25" t="n">
        <f aca="false">D12/D$14</f>
        <v>0.0646093292019094</v>
      </c>
      <c r="H12" s="26" t="n">
        <f aca="false">SUMIFS(Data_Market!$D$2:$D$500,Data_Market!$B$2:$B$500,$A12,Data_Market!$A$2:$A$500,$B$3)</f>
        <v>1.89</v>
      </c>
      <c r="I12" s="26" t="n">
        <f aca="false">SUMIFS(Data_Market!$D$2:$D$500,Data_Market!$B$2:$B$500,$A12,Data_Market!$A$2:$A$500,$B$4)</f>
        <v>1.83</v>
      </c>
      <c r="J12" s="26" t="n">
        <f aca="false">SUMIFS(Data_Market!$D$2:$D$500,Data_Market!$B$2:$B$500,$A12,Data_Market!$A$2:$A$500,$B$5)</f>
        <v>1.52</v>
      </c>
      <c r="K12" s="25" t="n">
        <f aca="false">IFERROR((J12/H12)^(1/($B$5-$B$3))-1,"n/a")</f>
        <v>-0.0215510345629875</v>
      </c>
      <c r="L12" s="25" t="n">
        <f aca="false">IFERROR((J12/I12)^(1/($B$5-$B$4))-1,"n/a")</f>
        <v>-0.0364405842019994</v>
      </c>
      <c r="M12" s="25" t="n">
        <f aca="false">J12/J$14</f>
        <v>0.0120730738681493</v>
      </c>
      <c r="N12" s="27" t="n">
        <f aca="false">IFERROR((E12-K12)*100,"n/a")</f>
        <v>1.28252011430262</v>
      </c>
      <c r="O12" s="28" t="n">
        <f aca="false">RANK(D12,$D$9:$D$13)</f>
        <v>4</v>
      </c>
      <c r="P12" s="28" t="n">
        <f aca="false">RANK(J12,$J$9:$J$13)</f>
        <v>5</v>
      </c>
      <c r="Q12" s="9" t="str">
        <f aca="false">IF(AND(E12&gt;$B$6,K12&gt;$B$6),"Supply and demand growing",IF(AND(E12&lt;0,K12&lt;0),"Supply and demand contracting",IF(K12&gt;$B$6,"Demand-led growth",IF(E12&gt;$B$6,"Supply-led growth","Mixed / flat"))))</f>
        <v>Supply and demand contracting</v>
      </c>
      <c r="R12" s="25" t="n">
        <f aca="false">IFERROR(INDEX(Data_Market!$C$2:$C$500,MATCH($A12&amp;"|"&amp;$B$5,Data_Market!$E$2:$E$500,0))/INDEX(Data_Market!$C$2:$C$500,MATCH($A12&amp;"|"&amp;($B$5-1),Data_Market!$E$2:$E$500,0))-1,"n/a")</f>
        <v>0.00543006081668107</v>
      </c>
      <c r="S12" s="25" t="n">
        <f aca="false">IFERROR(INDEX(Data_Market!$D$2:$D$500,MATCH($A12&amp;"|"&amp;$B$5,Data_Market!$E$2:$E$500,0))/INDEX(Data_Market!$D$2:$D$500,MATCH($A12&amp;"|"&amp;($B$5-1),Data_Market!$E$2:$E$500,0))-1,"n/a")</f>
        <v>-0.012987012987013</v>
      </c>
    </row>
    <row r="13" customFormat="false" ht="15" hidden="false" customHeight="false" outlineLevel="0" collapsed="false">
      <c r="A13" s="23" t="s">
        <v>92</v>
      </c>
      <c r="B13" s="24" t="n">
        <f aca="false">SUMIFS(Data_Market!$C$2:$C$500,Data_Market!$B$2:$B$500,$A13,Data_Market!$A$2:$A$500,$B$3)</f>
        <v>1.3</v>
      </c>
      <c r="C13" s="24" t="n">
        <f aca="false">SUMIFS(Data_Market!$C$2:$C$500,Data_Market!$B$2:$B$500,$A13,Data_Market!$A$2:$A$500,$B$4)</f>
        <v>0.8</v>
      </c>
      <c r="D13" s="24" t="n">
        <f aca="false">SUMIFS(Data_Market!$C$2:$C$500,Data_Market!$B$2:$B$500,$A13,Data_Market!$A$2:$A$500,$B$5)</f>
        <v>0.5</v>
      </c>
      <c r="E13" s="25" t="n">
        <f aca="false">IFERROR((D13/B13)^(1/($B$5-$B$3))-1,"n/a")</f>
        <v>-0.0911281233352342</v>
      </c>
      <c r="F13" s="25" t="n">
        <f aca="false">IFERROR((D13/C13)^(1/($B$5-$B$4))-1,"n/a")</f>
        <v>-0.0897178984869599</v>
      </c>
      <c r="G13" s="25" t="n">
        <f aca="false">D13/D$14</f>
        <v>6.97875666471261E-005</v>
      </c>
      <c r="H13" s="26" t="n">
        <f aca="false">SUMIFS(Data_Market!$D$2:$D$500,Data_Market!$B$2:$B$500,$A13,Data_Market!$A$2:$A$500,$B$3)</f>
        <v>5.07</v>
      </c>
      <c r="I13" s="26" t="n">
        <f aca="false">SUMIFS(Data_Market!$D$2:$D$500,Data_Market!$B$2:$B$500,$A13,Data_Market!$A$2:$A$500,$B$4)</f>
        <v>4.99</v>
      </c>
      <c r="J13" s="26" t="n">
        <f aca="false">SUMIFS(Data_Market!$D$2:$D$500,Data_Market!$B$2:$B$500,$A13,Data_Market!$A$2:$A$500,$B$5)</f>
        <v>4.53</v>
      </c>
      <c r="K13" s="25" t="n">
        <f aca="false">IFERROR((J13/H13)^(1/($B$5-$B$3))-1,"n/a")</f>
        <v>-0.0111987101413034</v>
      </c>
      <c r="L13" s="25" t="n">
        <f aca="false">IFERROR((J13/I13)^(1/($B$5-$B$4))-1,"n/a")</f>
        <v>-0.0191569225666715</v>
      </c>
      <c r="M13" s="25" t="n">
        <f aca="false">J13/J$14</f>
        <v>0.0359809372517871</v>
      </c>
      <c r="N13" s="27" t="n">
        <f aca="false">IFERROR((E13-K13)*100,"n/a")</f>
        <v>-7.99294131939309</v>
      </c>
      <c r="O13" s="28" t="n">
        <f aca="false">RANK(D13,$D$9:$D$13)</f>
        <v>5</v>
      </c>
      <c r="P13" s="28" t="n">
        <f aca="false">RANK(J13,$J$9:$J$13)</f>
        <v>4</v>
      </c>
      <c r="Q13" s="9" t="str">
        <f aca="false">IF(AND(E13&gt;$B$6,K13&gt;$B$6),"Supply and demand growing",IF(AND(E13&lt;0,K13&lt;0),"Supply and demand contracting",IF(K13&gt;$B$6,"Demand-led growth",IF(E13&gt;$B$6,"Supply-led growth","Mixed / flat"))))</f>
        <v>Supply and demand contracting</v>
      </c>
      <c r="R13" s="25" t="n">
        <f aca="false">IFERROR(INDEX(Data_Market!$C$2:$C$500,MATCH($A13&amp;"|"&amp;$B$5,Data_Market!$E$2:$E$500,0))/INDEX(Data_Market!$C$2:$C$500,MATCH($A13&amp;"|"&amp;($B$5-1),Data_Market!$E$2:$E$500,0))-1,"n/a")</f>
        <v>0</v>
      </c>
      <c r="S13" s="25" t="n">
        <f aca="false">IFERROR(INDEX(Data_Market!$D$2:$D$500,MATCH($A13&amp;"|"&amp;$B$5,Data_Market!$E$2:$E$500,0))/INDEX(Data_Market!$D$2:$D$500,MATCH($A13&amp;"|"&amp;($B$5-1),Data_Market!$E$2:$E$500,0))-1,"n/a")</f>
        <v>-0.0792682926829268</v>
      </c>
    </row>
    <row r="14" customFormat="false" ht="15" hidden="false" customHeight="false" outlineLevel="0" collapsed="false">
      <c r="A14" s="29" t="s">
        <v>93</v>
      </c>
      <c r="B14" s="30" t="n">
        <f aca="false">SUM(B9:B13)</f>
        <v>5484.8</v>
      </c>
      <c r="C14" s="30" t="n">
        <f aca="false">SUM(C9:C13)</f>
        <v>5722.6</v>
      </c>
      <c r="D14" s="30" t="n">
        <f aca="false">SUM(D9:D13)</f>
        <v>7164.6</v>
      </c>
      <c r="E14" s="31" t="n">
        <f aca="false">IFERROR((D14/B14)^(1/($B$5-$B$3))-1,"n/a")</f>
        <v>0.0270772634321967</v>
      </c>
      <c r="F14" s="31" t="n">
        <f aca="false">IFERROR((D14/C14)^(1/($B$5-$B$4))-1,"n/a")</f>
        <v>0.0459711636418574</v>
      </c>
      <c r="G14" s="31" t="n">
        <f aca="false">SUM(G9:G13)</f>
        <v>1</v>
      </c>
      <c r="H14" s="32" t="n">
        <f aca="false">SUM(H9:H13)</f>
        <v>105.44</v>
      </c>
      <c r="I14" s="32" t="n">
        <f aca="false">SUM(I9:I13)</f>
        <v>107.58</v>
      </c>
      <c r="J14" s="32" t="n">
        <f aca="false">SUM(J9:J13)</f>
        <v>125.9</v>
      </c>
      <c r="K14" s="31" t="n">
        <f aca="false">IFERROR((J14/H14)^(1/($B$5-$B$3))-1,"n/a")</f>
        <v>0.0178927785884762</v>
      </c>
      <c r="L14" s="31" t="n">
        <f aca="false">IFERROR((J14/I14)^(1/($B$5-$B$4))-1,"n/a")</f>
        <v>0.0319504340050256</v>
      </c>
      <c r="M14" s="31" t="n">
        <f aca="false">SUM(M9:M13)</f>
        <v>1</v>
      </c>
      <c r="N14" s="33"/>
      <c r="O14" s="29"/>
      <c r="P14" s="29"/>
      <c r="Q14" s="29"/>
      <c r="R14" s="29"/>
      <c r="S14" s="29"/>
    </row>
    <row r="15" customFormat="false" ht="15" hidden="false" customHeight="false" outlineLevel="0" collapsed="false">
      <c r="A15" s="3" t="s">
        <v>94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customFormat="false" ht="15" hidden="false" customHeight="false" outlineLevel="0" collapsed="false">
      <c r="A17" s="14" t="s">
        <v>95</v>
      </c>
      <c r="B17" s="2"/>
      <c r="C17" s="2"/>
      <c r="D17" s="2"/>
      <c r="E17" s="2"/>
      <c r="F17" s="2"/>
      <c r="G17" s="2"/>
      <c r="H17" s="14" t="s">
        <v>96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customFormat="false" ht="24" hidden="false" customHeight="true" outlineLevel="0" collapsed="false">
      <c r="A18" s="4" t="s">
        <v>97</v>
      </c>
      <c r="B18" s="4" t="str">
        <f aca="false">$A$9</f>
        <v>China</v>
      </c>
      <c r="C18" s="4" t="str">
        <f aca="false">$A$10</f>
        <v>India</v>
      </c>
      <c r="D18" s="4" t="str">
        <f aca="false">$A$11</f>
        <v>Indonesia</v>
      </c>
      <c r="E18" s="4" t="str">
        <f aca="false">$A$12</f>
        <v>Australia</v>
      </c>
      <c r="F18" s="4" t="str">
        <f aca="false">$A$13</f>
        <v>Japan</v>
      </c>
      <c r="G18" s="2"/>
      <c r="H18" s="4" t="s">
        <v>97</v>
      </c>
      <c r="I18" s="4" t="str">
        <f aca="false">$A$9</f>
        <v>China</v>
      </c>
      <c r="J18" s="4" t="str">
        <f aca="false">$A$10</f>
        <v>India</v>
      </c>
      <c r="K18" s="4" t="str">
        <f aca="false">$A$11</f>
        <v>Indonesia</v>
      </c>
      <c r="L18" s="4" t="str">
        <f aca="false">$A$12</f>
        <v>Australia</v>
      </c>
      <c r="M18" s="4" t="str">
        <f aca="false">$A$13</f>
        <v>Japan</v>
      </c>
      <c r="N18" s="2"/>
      <c r="O18" s="2"/>
      <c r="P18" s="2"/>
      <c r="Q18" s="2"/>
      <c r="R18" s="2"/>
      <c r="S18" s="2"/>
    </row>
    <row r="19" customFormat="false" ht="15" hidden="false" customHeight="false" outlineLevel="0" collapsed="false">
      <c r="A19" s="34" t="n">
        <f aca="false">$B$3</f>
        <v>2014</v>
      </c>
      <c r="B19" s="27" t="n">
        <f aca="false">SUMIFS(Data_Market!$C$2:$C$500,Data_Market!$B$2:$B$500,B$18,Data_Market!$A$2:$A$500,$A19)/SUMIFS(Data_Market!$C$2:$C$500,Data_Market!$B$2:$B$500,B$18,Data_Market!$A$2:$A$500,$B$3)*100</f>
        <v>100</v>
      </c>
      <c r="C19" s="27" t="n">
        <f aca="false">SUMIFS(Data_Market!$C$2:$C$500,Data_Market!$B$2:$B$500,C$18,Data_Market!$A$2:$A$500,$A19)/SUMIFS(Data_Market!$C$2:$C$500,Data_Market!$B$2:$B$500,C$18,Data_Market!$A$2:$A$500,$B$3)*100</f>
        <v>100</v>
      </c>
      <c r="D19" s="27" t="n">
        <f aca="false">SUMIFS(Data_Market!$C$2:$C$500,Data_Market!$B$2:$B$500,D$18,Data_Market!$A$2:$A$500,$A19)/SUMIFS(Data_Market!$C$2:$C$500,Data_Market!$B$2:$B$500,D$18,Data_Market!$A$2:$A$500,$B$3)*100</f>
        <v>100</v>
      </c>
      <c r="E19" s="27" t="n">
        <f aca="false">SUMIFS(Data_Market!$C$2:$C$500,Data_Market!$B$2:$B$500,E$18,Data_Market!$A$2:$A$500,$A19)/SUMIFS(Data_Market!$C$2:$C$500,Data_Market!$B$2:$B$500,E$18,Data_Market!$A$2:$A$500,$B$3)*100</f>
        <v>100</v>
      </c>
      <c r="F19" s="27" t="n">
        <f aca="false">SUMIFS(Data_Market!$C$2:$C$500,Data_Market!$B$2:$B$500,F$18,Data_Market!$A$2:$A$500,$A19)/SUMIFS(Data_Market!$C$2:$C$500,Data_Market!$B$2:$B$500,F$18,Data_Market!$A$2:$A$500,$B$3)*100</f>
        <v>100</v>
      </c>
      <c r="G19" s="2"/>
      <c r="H19" s="34" t="n">
        <f aca="false">A19</f>
        <v>2014</v>
      </c>
      <c r="I19" s="27" t="n">
        <f aca="false">SUMIFS(Data_Market!$D$2:$D$500,Data_Market!$B$2:$B$500,I$18,Data_Market!$A$2:$A$500,$H19)/SUMIFS(Data_Market!$D$2:$D$500,Data_Market!$B$2:$B$500,I$18,Data_Market!$A$2:$A$500,$B$3)*100</f>
        <v>100</v>
      </c>
      <c r="J19" s="27" t="n">
        <f aca="false">SUMIFS(Data_Market!$D$2:$D$500,Data_Market!$B$2:$B$500,J$18,Data_Market!$A$2:$A$500,$H19)/SUMIFS(Data_Market!$D$2:$D$500,Data_Market!$B$2:$B$500,J$18,Data_Market!$A$2:$A$500,$B$3)*100</f>
        <v>100</v>
      </c>
      <c r="K19" s="27" t="n">
        <f aca="false">SUMIFS(Data_Market!$D$2:$D$500,Data_Market!$B$2:$B$500,K$18,Data_Market!$A$2:$A$500,$H19)/SUMIFS(Data_Market!$D$2:$D$500,Data_Market!$B$2:$B$500,K$18,Data_Market!$A$2:$A$500,$B$3)*100</f>
        <v>100</v>
      </c>
      <c r="L19" s="27" t="n">
        <f aca="false">SUMIFS(Data_Market!$D$2:$D$500,Data_Market!$B$2:$B$500,L$18,Data_Market!$A$2:$A$500,$H19)/SUMIFS(Data_Market!$D$2:$D$500,Data_Market!$B$2:$B$500,L$18,Data_Market!$A$2:$A$500,$B$3)*100</f>
        <v>100</v>
      </c>
      <c r="M19" s="27" t="n">
        <f aca="false">SUMIFS(Data_Market!$D$2:$D$500,Data_Market!$B$2:$B$500,M$18,Data_Market!$A$2:$A$500,$H19)/SUMIFS(Data_Market!$D$2:$D$500,Data_Market!$B$2:$B$500,M$18,Data_Market!$A$2:$A$500,$B$3)*100</f>
        <v>100</v>
      </c>
      <c r="N19" s="2"/>
      <c r="O19" s="2"/>
      <c r="P19" s="2"/>
      <c r="Q19" s="2"/>
      <c r="R19" s="2"/>
      <c r="S19" s="2"/>
    </row>
    <row r="20" customFormat="false" ht="15" hidden="false" customHeight="false" outlineLevel="0" collapsed="false">
      <c r="A20" s="34" t="n">
        <f aca="false">A19+1</f>
        <v>2015</v>
      </c>
      <c r="B20" s="27" t="n">
        <f aca="false">SUMIFS(Data_Market!$C$2:$C$500,Data_Market!$B$2:$B$500,B$18,Data_Market!$A$2:$A$500,$A20)/SUMIFS(Data_Market!$C$2:$C$500,Data_Market!$B$2:$B$500,B$18,Data_Market!$A$2:$A$500,$B$3)*100</f>
        <v>96.7113245050208</v>
      </c>
      <c r="C20" s="27" t="n">
        <f aca="false">SUMIFS(Data_Market!$C$2:$C$500,Data_Market!$B$2:$B$500,C$18,Data_Market!$A$2:$A$500,$A20)/SUMIFS(Data_Market!$C$2:$C$500,Data_Market!$B$2:$B$500,C$18,Data_Market!$A$2:$A$500,$B$3)*100</f>
        <v>104.333023831631</v>
      </c>
      <c r="D20" s="27" t="n">
        <f aca="false">SUMIFS(Data_Market!$C$2:$C$500,Data_Market!$B$2:$B$500,D$18,Data_Market!$A$2:$A$500,$A20)/SUMIFS(Data_Market!$C$2:$C$500,Data_Market!$B$2:$B$500,D$18,Data_Market!$A$2:$A$500,$B$3)*100</f>
        <v>100.764025321982</v>
      </c>
      <c r="E20" s="27" t="n">
        <f aca="false">SUMIFS(Data_Market!$C$2:$C$500,Data_Market!$B$2:$B$500,E$18,Data_Market!$A$2:$A$500,$A20)/SUMIFS(Data_Market!$C$2:$C$500,Data_Market!$B$2:$B$500,E$18,Data_Market!$A$2:$A$500,$B$3)*100</f>
        <v>99.6833564219276</v>
      </c>
      <c r="F20" s="27" t="n">
        <f aca="false">SUMIFS(Data_Market!$C$2:$C$500,Data_Market!$B$2:$B$500,F$18,Data_Market!$A$2:$A$500,$A20)/SUMIFS(Data_Market!$C$2:$C$500,Data_Market!$B$2:$B$500,F$18,Data_Market!$A$2:$A$500,$B$3)*100</f>
        <v>92.3076923076923</v>
      </c>
      <c r="G20" s="2"/>
      <c r="H20" s="34" t="n">
        <f aca="false">A20</f>
        <v>2015</v>
      </c>
      <c r="I20" s="27" t="n">
        <f aca="false">SUMIFS(Data_Market!$D$2:$D$500,Data_Market!$B$2:$B$500,I$18,Data_Market!$A$2:$A$500,$H20)/SUMIFS(Data_Market!$D$2:$D$500,Data_Market!$B$2:$B$500,I$18,Data_Market!$A$2:$A$500,$B$3)*100</f>
        <v>99.5755003032141</v>
      </c>
      <c r="J20" s="27" t="n">
        <f aca="false">SUMIFS(Data_Market!$D$2:$D$500,Data_Market!$B$2:$B$500,J$18,Data_Market!$A$2:$A$500,$H20)/SUMIFS(Data_Market!$D$2:$D$500,Data_Market!$B$2:$B$500,J$18,Data_Market!$A$2:$A$500,$B$3)*100</f>
        <v>109.695290858726</v>
      </c>
      <c r="K20" s="27" t="n">
        <f aca="false">SUMIFS(Data_Market!$D$2:$D$500,Data_Market!$B$2:$B$500,K$18,Data_Market!$A$2:$A$500,$H20)/SUMIFS(Data_Market!$D$2:$D$500,Data_Market!$B$2:$B$500,K$18,Data_Market!$A$2:$A$500,$B$3)*100</f>
        <v>106.289308176101</v>
      </c>
      <c r="L20" s="27" t="n">
        <f aca="false">SUMIFS(Data_Market!$D$2:$D$500,Data_Market!$B$2:$B$500,L$18,Data_Market!$A$2:$A$500,$H20)/SUMIFS(Data_Market!$D$2:$D$500,Data_Market!$B$2:$B$500,L$18,Data_Market!$A$2:$A$500,$B$3)*100</f>
        <v>99.4708994708995</v>
      </c>
      <c r="M20" s="27" t="n">
        <f aca="false">SUMIFS(Data_Market!$D$2:$D$500,Data_Market!$B$2:$B$500,M$18,Data_Market!$A$2:$A$500,$H20)/SUMIFS(Data_Market!$D$2:$D$500,Data_Market!$B$2:$B$500,M$18,Data_Market!$A$2:$A$500,$B$3)*100</f>
        <v>98.422090729783</v>
      </c>
      <c r="N20" s="2"/>
      <c r="O20" s="2"/>
      <c r="P20" s="2"/>
      <c r="Q20" s="2"/>
      <c r="R20" s="2"/>
      <c r="S20" s="2"/>
    </row>
    <row r="21" customFormat="false" ht="15" hidden="false" customHeight="false" outlineLevel="0" collapsed="false">
      <c r="A21" s="34" t="n">
        <f aca="false">A20+1</f>
        <v>2016</v>
      </c>
      <c r="B21" s="27" t="n">
        <f aca="false">SUMIFS(Data_Market!$C$2:$C$500,Data_Market!$B$2:$B$500,B$18,Data_Market!$A$2:$A$500,$A21)/SUMIFS(Data_Market!$C$2:$C$500,Data_Market!$B$2:$B$500,B$18,Data_Market!$A$2:$A$500,$B$3)*100</f>
        <v>88.0404760060921</v>
      </c>
      <c r="C21" s="27" t="n">
        <f aca="false">SUMIFS(Data_Market!$C$2:$C$500,Data_Market!$B$2:$B$500,C$18,Data_Market!$A$2:$A$500,$A21)/SUMIFS(Data_Market!$C$2:$C$500,Data_Market!$B$2:$B$500,C$18,Data_Market!$A$2:$A$500,$B$3)*100</f>
        <v>106.747137109254</v>
      </c>
      <c r="D21" s="27" t="n">
        <f aca="false">SUMIFS(Data_Market!$C$2:$C$500,Data_Market!$B$2:$B$500,D$18,Data_Market!$A$2:$A$500,$A21)/SUMIFS(Data_Market!$C$2:$C$500,Data_Market!$B$2:$B$500,D$18,Data_Market!$A$2:$A$500,$B$3)*100</f>
        <v>100.676708142327</v>
      </c>
      <c r="E21" s="27" t="n">
        <f aca="false">SUMIFS(Data_Market!$C$2:$C$500,Data_Market!$B$2:$B$500,E$18,Data_Market!$A$2:$A$500,$A21)/SUMIFS(Data_Market!$C$2:$C$500,Data_Market!$B$2:$B$500,E$18,Data_Market!$A$2:$A$500,$B$3)*100</f>
        <v>99.3667128438551</v>
      </c>
      <c r="F21" s="27" t="n">
        <f aca="false">SUMIFS(Data_Market!$C$2:$C$500,Data_Market!$B$2:$B$500,F$18,Data_Market!$A$2:$A$500,$A21)/SUMIFS(Data_Market!$C$2:$C$500,Data_Market!$B$2:$B$500,F$18,Data_Market!$A$2:$A$500,$B$3)*100</f>
        <v>100</v>
      </c>
      <c r="G21" s="2"/>
      <c r="H21" s="34" t="n">
        <f aca="false">A21</f>
        <v>2016</v>
      </c>
      <c r="I21" s="27" t="n">
        <f aca="false">SUMIFS(Data_Market!$D$2:$D$500,Data_Market!$B$2:$B$500,I$18,Data_Market!$A$2:$A$500,$H21)/SUMIFS(Data_Market!$D$2:$D$500,Data_Market!$B$2:$B$500,I$18,Data_Market!$A$2:$A$500,$B$3)*100</f>
        <v>97.4893875075803</v>
      </c>
      <c r="J21" s="27" t="n">
        <f aca="false">SUMIFS(Data_Market!$D$2:$D$500,Data_Market!$B$2:$B$500,J$18,Data_Market!$A$2:$A$500,$H21)/SUMIFS(Data_Market!$D$2:$D$500,Data_Market!$B$2:$B$500,J$18,Data_Market!$A$2:$A$500,$B$3)*100</f>
        <v>111.980609418283</v>
      </c>
      <c r="K21" s="27" t="n">
        <f aca="false">SUMIFS(Data_Market!$D$2:$D$500,Data_Market!$B$2:$B$500,K$18,Data_Market!$A$2:$A$500,$H21)/SUMIFS(Data_Market!$D$2:$D$500,Data_Market!$B$2:$B$500,K$18,Data_Market!$A$2:$A$500,$B$3)*100</f>
        <v>120.754716981132</v>
      </c>
      <c r="L21" s="27" t="n">
        <f aca="false">SUMIFS(Data_Market!$D$2:$D$500,Data_Market!$B$2:$B$500,L$18,Data_Market!$A$2:$A$500,$H21)/SUMIFS(Data_Market!$D$2:$D$500,Data_Market!$B$2:$B$500,L$18,Data_Market!$A$2:$A$500,$B$3)*100</f>
        <v>103.174603174603</v>
      </c>
      <c r="M21" s="27" t="n">
        <f aca="false">SUMIFS(Data_Market!$D$2:$D$500,Data_Market!$B$2:$B$500,M$18,Data_Market!$A$2:$A$500,$H21)/SUMIFS(Data_Market!$D$2:$D$500,Data_Market!$B$2:$B$500,M$18,Data_Market!$A$2:$A$500,$B$3)*100</f>
        <v>99.2110453648915</v>
      </c>
      <c r="N21" s="2"/>
      <c r="O21" s="2"/>
      <c r="P21" s="2"/>
      <c r="Q21" s="2"/>
      <c r="R21" s="2"/>
      <c r="S21" s="2"/>
    </row>
    <row r="22" customFormat="false" ht="15" hidden="false" customHeight="false" outlineLevel="0" collapsed="false">
      <c r="A22" s="34" t="n">
        <f aca="false">A21+1</f>
        <v>2017</v>
      </c>
      <c r="B22" s="27" t="n">
        <f aca="false">SUMIFS(Data_Market!$C$2:$C$500,Data_Market!$B$2:$B$500,B$18,Data_Market!$A$2:$A$500,$A22)/SUMIFS(Data_Market!$C$2:$C$500,Data_Market!$B$2:$B$500,B$18,Data_Market!$A$2:$A$500,$B$3)*100</f>
        <v>90.9574330777769</v>
      </c>
      <c r="C22" s="27" t="n">
        <f aca="false">SUMIFS(Data_Market!$C$2:$C$500,Data_Market!$B$2:$B$500,C$18,Data_Market!$A$2:$A$500,$A22)/SUMIFS(Data_Market!$C$2:$C$500,Data_Market!$B$2:$B$500,C$18,Data_Market!$A$2:$A$500,$B$3)*100</f>
        <v>110.136180748994</v>
      </c>
      <c r="D22" s="27" t="n">
        <f aca="false">SUMIFS(Data_Market!$C$2:$C$500,Data_Market!$B$2:$B$500,D$18,Data_Market!$A$2:$A$500,$A22)/SUMIFS(Data_Market!$C$2:$C$500,Data_Market!$B$2:$B$500,D$18,Data_Market!$A$2:$A$500,$B$3)*100</f>
        <v>100.676708142327</v>
      </c>
      <c r="E22" s="27" t="n">
        <f aca="false">SUMIFS(Data_Market!$C$2:$C$500,Data_Market!$B$2:$B$500,E$18,Data_Market!$A$2:$A$500,$A22)/SUMIFS(Data_Market!$C$2:$C$500,Data_Market!$B$2:$B$500,E$18,Data_Market!$A$2:$A$500,$B$3)*100</f>
        <v>96.4179695230556</v>
      </c>
      <c r="F22" s="27" t="n">
        <f aca="false">SUMIFS(Data_Market!$C$2:$C$500,Data_Market!$B$2:$B$500,F$18,Data_Market!$A$2:$A$500,$A22)/SUMIFS(Data_Market!$C$2:$C$500,Data_Market!$B$2:$B$500,F$18,Data_Market!$A$2:$A$500,$B$3)*100</f>
        <v>107.692307692308</v>
      </c>
      <c r="G22" s="2"/>
      <c r="H22" s="34" t="n">
        <f aca="false">A22</f>
        <v>2017</v>
      </c>
      <c r="I22" s="27" t="n">
        <f aca="false">SUMIFS(Data_Market!$D$2:$D$500,Data_Market!$B$2:$B$500,I$18,Data_Market!$A$2:$A$500,$H22)/SUMIFS(Data_Market!$D$2:$D$500,Data_Market!$B$2:$B$500,I$18,Data_Market!$A$2:$A$500,$B$3)*100</f>
        <v>94.639175257732</v>
      </c>
      <c r="J22" s="27" t="n">
        <f aca="false">SUMIFS(Data_Market!$D$2:$D$500,Data_Market!$B$2:$B$500,J$18,Data_Market!$A$2:$A$500,$H22)/SUMIFS(Data_Market!$D$2:$D$500,Data_Market!$B$2:$B$500,J$18,Data_Market!$A$2:$A$500,$B$3)*100</f>
        <v>114.404432132964</v>
      </c>
      <c r="K22" s="27" t="n">
        <f aca="false">SUMIFS(Data_Market!$D$2:$D$500,Data_Market!$B$2:$B$500,K$18,Data_Market!$A$2:$A$500,$H22)/SUMIFS(Data_Market!$D$2:$D$500,Data_Market!$B$2:$B$500,K$18,Data_Market!$A$2:$A$500,$B$3)*100</f>
        <v>123.270440251572</v>
      </c>
      <c r="L22" s="27" t="n">
        <f aca="false">SUMIFS(Data_Market!$D$2:$D$500,Data_Market!$B$2:$B$500,L$18,Data_Market!$A$2:$A$500,$H22)/SUMIFS(Data_Market!$D$2:$D$500,Data_Market!$B$2:$B$500,L$18,Data_Market!$A$2:$A$500,$B$3)*100</f>
        <v>102.645502645503</v>
      </c>
      <c r="M22" s="27" t="n">
        <f aca="false">SUMIFS(Data_Market!$D$2:$D$500,Data_Market!$B$2:$B$500,M$18,Data_Market!$A$2:$A$500,$H22)/SUMIFS(Data_Market!$D$2:$D$500,Data_Market!$B$2:$B$500,M$18,Data_Market!$A$2:$A$500,$B$3)*100</f>
        <v>99.0138067061144</v>
      </c>
      <c r="N22" s="2"/>
      <c r="O22" s="2"/>
      <c r="P22" s="2"/>
      <c r="Q22" s="2"/>
      <c r="R22" s="2"/>
      <c r="S22" s="2"/>
    </row>
    <row r="23" customFormat="false" ht="15" hidden="false" customHeight="false" outlineLevel="0" collapsed="false">
      <c r="A23" s="34" t="n">
        <f aca="false">A22+1</f>
        <v>2018</v>
      </c>
      <c r="B23" s="27" t="n">
        <f aca="false">SUMIFS(Data_Market!$C$2:$C$500,Data_Market!$B$2:$B$500,B$18,Data_Market!$A$2:$A$500,$A23)/SUMIFS(Data_Market!$C$2:$C$500,Data_Market!$B$2:$B$500,B$18,Data_Market!$A$2:$A$500,$B$3)*100</f>
        <v>95.4516120705232</v>
      </c>
      <c r="C23" s="27" t="n">
        <f aca="false">SUMIFS(Data_Market!$C$2:$C$500,Data_Market!$B$2:$B$500,C$18,Data_Market!$A$2:$A$500,$A23)/SUMIFS(Data_Market!$C$2:$C$500,Data_Market!$B$2:$B$500,C$18,Data_Market!$A$2:$A$500,$B$3)*100</f>
        <v>117.67254719901</v>
      </c>
      <c r="D23" s="27" t="n">
        <f aca="false">SUMIFS(Data_Market!$C$2:$C$500,Data_Market!$B$2:$B$500,D$18,Data_Market!$A$2:$A$500,$A23)/SUMIFS(Data_Market!$C$2:$C$500,Data_Market!$B$2:$B$500,D$18,Data_Market!$A$2:$A$500,$B$3)*100</f>
        <v>121.763807029033</v>
      </c>
      <c r="E23" s="27" t="n">
        <f aca="false">SUMIFS(Data_Market!$C$2:$C$500,Data_Market!$B$2:$B$500,E$18,Data_Market!$A$2:$A$500,$A23)/SUMIFS(Data_Market!$C$2:$C$500,Data_Market!$B$2:$B$500,E$18,Data_Market!$A$2:$A$500,$B$3)*100</f>
        <v>99.3469226202256</v>
      </c>
      <c r="F23" s="27" t="n">
        <f aca="false">SUMIFS(Data_Market!$C$2:$C$500,Data_Market!$B$2:$B$500,F$18,Data_Market!$A$2:$A$500,$A23)/SUMIFS(Data_Market!$C$2:$C$500,Data_Market!$B$2:$B$500,F$18,Data_Market!$A$2:$A$500,$B$3)*100</f>
        <v>76.9230769230769</v>
      </c>
      <c r="G23" s="2"/>
      <c r="H23" s="34" t="n">
        <f aca="false">A23</f>
        <v>2018</v>
      </c>
      <c r="I23" s="27" t="n">
        <f aca="false">SUMIFS(Data_Market!$D$2:$D$500,Data_Market!$B$2:$B$500,I$18,Data_Market!$A$2:$A$500,$H23)/SUMIFS(Data_Market!$D$2:$D$500,Data_Market!$B$2:$B$500,I$18,Data_Market!$A$2:$A$500,$B$3)*100</f>
        <v>95.6943602183141</v>
      </c>
      <c r="J23" s="27" t="n">
        <f aca="false">SUMIFS(Data_Market!$D$2:$D$500,Data_Market!$B$2:$B$500,J$18,Data_Market!$A$2:$A$500,$H23)/SUMIFS(Data_Market!$D$2:$D$500,Data_Market!$B$2:$B$500,J$18,Data_Market!$A$2:$A$500,$B$3)*100</f>
        <v>118.074792243767</v>
      </c>
      <c r="K23" s="27" t="n">
        <f aca="false">SUMIFS(Data_Market!$D$2:$D$500,Data_Market!$B$2:$B$500,K$18,Data_Market!$A$2:$A$500,$H23)/SUMIFS(Data_Market!$D$2:$D$500,Data_Market!$B$2:$B$500,K$18,Data_Market!$A$2:$A$500,$B$3)*100</f>
        <v>128.301886792453</v>
      </c>
      <c r="L23" s="27" t="n">
        <f aca="false">SUMIFS(Data_Market!$D$2:$D$500,Data_Market!$B$2:$B$500,L$18,Data_Market!$A$2:$A$500,$H23)/SUMIFS(Data_Market!$D$2:$D$500,Data_Market!$B$2:$B$500,L$18,Data_Market!$A$2:$A$500,$B$3)*100</f>
        <v>99.4708994708995</v>
      </c>
      <c r="M23" s="27" t="n">
        <f aca="false">SUMIFS(Data_Market!$D$2:$D$500,Data_Market!$B$2:$B$500,M$18,Data_Market!$A$2:$A$500,$H23)/SUMIFS(Data_Market!$D$2:$D$500,Data_Market!$B$2:$B$500,M$18,Data_Market!$A$2:$A$500,$B$3)*100</f>
        <v>100.591715976331</v>
      </c>
      <c r="N23" s="2"/>
      <c r="O23" s="2"/>
      <c r="P23" s="2"/>
      <c r="Q23" s="2"/>
      <c r="R23" s="2"/>
      <c r="S23" s="2"/>
    </row>
    <row r="24" customFormat="false" ht="15" hidden="false" customHeight="false" outlineLevel="0" collapsed="false">
      <c r="A24" s="34" t="n">
        <f aca="false">A23+1</f>
        <v>2019</v>
      </c>
      <c r="B24" s="27" t="n">
        <f aca="false">SUMIFS(Data_Market!$C$2:$C$500,Data_Market!$B$2:$B$500,B$18,Data_Market!$A$2:$A$500,$A24)/SUMIFS(Data_Market!$C$2:$C$500,Data_Market!$B$2:$B$500,B$18,Data_Market!$A$2:$A$500,$B$3)*100</f>
        <v>99.2875396886858</v>
      </c>
      <c r="C24" s="27" t="n">
        <f aca="false">SUMIFS(Data_Market!$C$2:$C$500,Data_Market!$B$2:$B$500,C$18,Data_Market!$A$2:$A$500,$A24)/SUMIFS(Data_Market!$C$2:$C$500,Data_Market!$B$2:$B$500,C$18,Data_Market!$A$2:$A$500,$B$3)*100</f>
        <v>116.666666666667</v>
      </c>
      <c r="D24" s="27" t="n">
        <f aca="false">SUMIFS(Data_Market!$C$2:$C$500,Data_Market!$B$2:$B$500,D$18,Data_Market!$A$2:$A$500,$A24)/SUMIFS(Data_Market!$C$2:$C$500,Data_Market!$B$2:$B$500,D$18,Data_Market!$A$2:$A$500,$B$3)*100</f>
        <v>134.512115258677</v>
      </c>
      <c r="E24" s="27" t="n">
        <f aca="false">SUMIFS(Data_Market!$C$2:$C$500,Data_Market!$B$2:$B$500,E$18,Data_Market!$A$2:$A$500,$A24)/SUMIFS(Data_Market!$C$2:$C$500,Data_Market!$B$2:$B$500,E$18,Data_Market!$A$2:$A$500,$B$3)*100</f>
        <v>100.01979022363</v>
      </c>
      <c r="F24" s="27" t="n">
        <f aca="false">SUMIFS(Data_Market!$C$2:$C$500,Data_Market!$B$2:$B$500,F$18,Data_Market!$A$2:$A$500,$A24)/SUMIFS(Data_Market!$C$2:$C$500,Data_Market!$B$2:$B$500,F$18,Data_Market!$A$2:$A$500,$B$3)*100</f>
        <v>61.5384615384615</v>
      </c>
      <c r="G24" s="2"/>
      <c r="H24" s="34" t="n">
        <f aca="false">A24</f>
        <v>2019</v>
      </c>
      <c r="I24" s="27" t="n">
        <f aca="false">SUMIFS(Data_Market!$D$2:$D$500,Data_Market!$B$2:$B$500,I$18,Data_Market!$A$2:$A$500,$H24)/SUMIFS(Data_Market!$D$2:$D$500,Data_Market!$B$2:$B$500,I$18,Data_Market!$A$2:$A$500,$B$3)*100</f>
        <v>97.5985445724682</v>
      </c>
      <c r="J24" s="27" t="n">
        <f aca="false">SUMIFS(Data_Market!$D$2:$D$500,Data_Market!$B$2:$B$500,J$18,Data_Market!$A$2:$A$500,$H24)/SUMIFS(Data_Market!$D$2:$D$500,Data_Market!$B$2:$B$500,J$18,Data_Market!$A$2:$A$500,$B$3)*100</f>
        <v>124.168975069252</v>
      </c>
      <c r="K24" s="27" t="n">
        <f aca="false">SUMIFS(Data_Market!$D$2:$D$500,Data_Market!$B$2:$B$500,K$18,Data_Market!$A$2:$A$500,$H24)/SUMIFS(Data_Market!$D$2:$D$500,Data_Market!$B$2:$B$500,K$18,Data_Market!$A$2:$A$500,$B$3)*100</f>
        <v>148.427672955975</v>
      </c>
      <c r="L24" s="27" t="n">
        <f aca="false">SUMIFS(Data_Market!$D$2:$D$500,Data_Market!$B$2:$B$500,L$18,Data_Market!$A$2:$A$500,$H24)/SUMIFS(Data_Market!$D$2:$D$500,Data_Market!$B$2:$B$500,L$18,Data_Market!$A$2:$A$500,$B$3)*100</f>
        <v>96.8253968253968</v>
      </c>
      <c r="M24" s="27" t="n">
        <f aca="false">SUMIFS(Data_Market!$D$2:$D$500,Data_Market!$B$2:$B$500,M$18,Data_Market!$A$2:$A$500,$H24)/SUMIFS(Data_Market!$D$2:$D$500,Data_Market!$B$2:$B$500,M$18,Data_Market!$A$2:$A$500,$B$3)*100</f>
        <v>98.422090729783</v>
      </c>
      <c r="N24" s="2"/>
      <c r="O24" s="2"/>
      <c r="P24" s="2"/>
      <c r="Q24" s="2"/>
      <c r="R24" s="2"/>
      <c r="S24" s="2"/>
    </row>
    <row r="25" customFormat="false" ht="15" hidden="false" customHeight="false" outlineLevel="0" collapsed="false">
      <c r="A25" s="34" t="n">
        <f aca="false">A24+1</f>
        <v>2020</v>
      </c>
      <c r="B25" s="27" t="n">
        <f aca="false">SUMIFS(Data_Market!$C$2:$C$500,Data_Market!$B$2:$B$500,B$18,Data_Market!$A$2:$A$500,$A25)/SUMIFS(Data_Market!$C$2:$C$500,Data_Market!$B$2:$B$500,B$18,Data_Market!$A$2:$A$500,$B$3)*100</f>
        <v>100.715041689254</v>
      </c>
      <c r="C25" s="27" t="n">
        <f aca="false">SUMIFS(Data_Market!$C$2:$C$500,Data_Market!$B$2:$B$500,C$18,Data_Market!$A$2:$A$500,$A25)/SUMIFS(Data_Market!$C$2:$C$500,Data_Market!$B$2:$B$500,C$18,Data_Market!$A$2:$A$500,$B$3)*100</f>
        <v>117.641597028784</v>
      </c>
      <c r="D25" s="27" t="n">
        <f aca="false">SUMIFS(Data_Market!$C$2:$C$500,Data_Market!$B$2:$B$500,D$18,Data_Market!$A$2:$A$500,$A25)/SUMIFS(Data_Market!$C$2:$C$500,Data_Market!$B$2:$B$500,D$18,Data_Market!$A$2:$A$500,$B$3)*100</f>
        <v>123.051735428946</v>
      </c>
      <c r="E25" s="27" t="n">
        <f aca="false">SUMIFS(Data_Market!$C$2:$C$500,Data_Market!$B$2:$B$500,E$18,Data_Market!$A$2:$A$500,$A25)/SUMIFS(Data_Market!$C$2:$C$500,Data_Market!$B$2:$B$500,E$18,Data_Market!$A$2:$A$500,$B$3)*100</f>
        <v>92.5984563625569</v>
      </c>
      <c r="F25" s="27" t="n">
        <f aca="false">SUMIFS(Data_Market!$C$2:$C$500,Data_Market!$B$2:$B$500,F$18,Data_Market!$A$2:$A$500,$A25)/SUMIFS(Data_Market!$C$2:$C$500,Data_Market!$B$2:$B$500,F$18,Data_Market!$A$2:$A$500,$B$3)*100</f>
        <v>61.5384615384615</v>
      </c>
      <c r="G25" s="2"/>
      <c r="H25" s="34" t="n">
        <f aca="false">A25</f>
        <v>2020</v>
      </c>
      <c r="I25" s="27" t="n">
        <f aca="false">SUMIFS(Data_Market!$D$2:$D$500,Data_Market!$B$2:$B$500,I$18,Data_Market!$A$2:$A$500,$H25)/SUMIFS(Data_Market!$D$2:$D$500,Data_Market!$B$2:$B$500,I$18,Data_Market!$A$2:$A$500,$B$3)*100</f>
        <v>100.084899939357</v>
      </c>
      <c r="J25" s="27" t="n">
        <f aca="false">SUMIFS(Data_Market!$D$2:$D$500,Data_Market!$B$2:$B$500,J$18,Data_Market!$A$2:$A$500,$H25)/SUMIFS(Data_Market!$D$2:$D$500,Data_Market!$B$2:$B$500,J$18,Data_Market!$A$2:$A$500,$B$3)*100</f>
        <v>124.376731301939</v>
      </c>
      <c r="K25" s="27" t="n">
        <f aca="false">SUMIFS(Data_Market!$D$2:$D$500,Data_Market!$B$2:$B$500,K$18,Data_Market!$A$2:$A$500,$H25)/SUMIFS(Data_Market!$D$2:$D$500,Data_Market!$B$2:$B$500,K$18,Data_Market!$A$2:$A$500,$B$3)*100</f>
        <v>181.132075471698</v>
      </c>
      <c r="L25" s="27" t="n">
        <f aca="false">SUMIFS(Data_Market!$D$2:$D$500,Data_Market!$B$2:$B$500,L$18,Data_Market!$A$2:$A$500,$H25)/SUMIFS(Data_Market!$D$2:$D$500,Data_Market!$B$2:$B$500,L$18,Data_Market!$A$2:$A$500,$B$3)*100</f>
        <v>92.5925925925926</v>
      </c>
      <c r="M25" s="27" t="n">
        <f aca="false">SUMIFS(Data_Market!$D$2:$D$500,Data_Market!$B$2:$B$500,M$18,Data_Market!$A$2:$A$500,$H25)/SUMIFS(Data_Market!$D$2:$D$500,Data_Market!$B$2:$B$500,M$18,Data_Market!$A$2:$A$500,$B$3)*100</f>
        <v>96.8441814595661</v>
      </c>
      <c r="N25" s="2"/>
      <c r="O25" s="2"/>
      <c r="P25" s="2"/>
      <c r="Q25" s="2"/>
      <c r="R25" s="2"/>
      <c r="S25" s="2"/>
    </row>
    <row r="26" customFormat="false" ht="15" hidden="false" customHeight="false" outlineLevel="0" collapsed="false">
      <c r="A26" s="34" t="n">
        <f aca="false">A25+1</f>
        <v>2021</v>
      </c>
      <c r="B26" s="27" t="n">
        <f aca="false">SUMIFS(Data_Market!$C$2:$C$500,Data_Market!$B$2:$B$500,B$18,Data_Market!$A$2:$A$500,$A26)/SUMIFS(Data_Market!$C$2:$C$500,Data_Market!$B$2:$B$500,B$18,Data_Market!$A$2:$A$500,$B$3)*100</f>
        <v>106.502491029712</v>
      </c>
      <c r="C26" s="27" t="n">
        <f aca="false">SUMIFS(Data_Market!$C$2:$C$500,Data_Market!$B$2:$B$500,C$18,Data_Market!$A$2:$A$500,$A26)/SUMIFS(Data_Market!$C$2:$C$500,Data_Market!$B$2:$B$500,C$18,Data_Market!$A$2:$A$500,$B$3)*100</f>
        <v>125.673166202414</v>
      </c>
      <c r="D26" s="27" t="n">
        <f aca="false">SUMIFS(Data_Market!$C$2:$C$500,Data_Market!$B$2:$B$500,D$18,Data_Market!$A$2:$A$500,$A26)/SUMIFS(Data_Market!$C$2:$C$500,Data_Market!$B$2:$B$500,D$18,Data_Market!$A$2:$A$500,$B$3)*100</f>
        <v>134.031870770574</v>
      </c>
      <c r="E26" s="27" t="n">
        <f aca="false">SUMIFS(Data_Market!$C$2:$C$500,Data_Market!$B$2:$B$500,E$18,Data_Market!$A$2:$A$500,$A26)/SUMIFS(Data_Market!$C$2:$C$500,Data_Market!$B$2:$B$500,E$18,Data_Market!$A$2:$A$500,$B$3)*100</f>
        <v>94.7555907381753</v>
      </c>
      <c r="F26" s="27" t="n">
        <f aca="false">SUMIFS(Data_Market!$C$2:$C$500,Data_Market!$B$2:$B$500,F$18,Data_Market!$A$2:$A$500,$A26)/SUMIFS(Data_Market!$C$2:$C$500,Data_Market!$B$2:$B$500,F$18,Data_Market!$A$2:$A$500,$B$3)*100</f>
        <v>53.8461538461539</v>
      </c>
      <c r="G26" s="2"/>
      <c r="H26" s="34" t="n">
        <f aca="false">A26</f>
        <v>2021</v>
      </c>
      <c r="I26" s="27" t="n">
        <f aca="false">SUMIFS(Data_Market!$D$2:$D$500,Data_Market!$B$2:$B$500,I$18,Data_Market!$A$2:$A$500,$H26)/SUMIFS(Data_Market!$D$2:$D$500,Data_Market!$B$2:$B$500,I$18,Data_Market!$A$2:$A$500,$B$3)*100</f>
        <v>102.183141297756</v>
      </c>
      <c r="J26" s="27" t="n">
        <f aca="false">SUMIFS(Data_Market!$D$2:$D$500,Data_Market!$B$2:$B$500,J$18,Data_Market!$A$2:$A$500,$H26)/SUMIFS(Data_Market!$D$2:$D$500,Data_Market!$B$2:$B$500,J$18,Data_Market!$A$2:$A$500,$B$3)*100</f>
        <v>117.520775623269</v>
      </c>
      <c r="K26" s="27" t="n">
        <f aca="false">SUMIFS(Data_Market!$D$2:$D$500,Data_Market!$B$2:$B$500,K$18,Data_Market!$A$2:$A$500,$H26)/SUMIFS(Data_Market!$D$2:$D$500,Data_Market!$B$2:$B$500,K$18,Data_Market!$A$2:$A$500,$B$3)*100</f>
        <v>173.584905660377</v>
      </c>
      <c r="L26" s="27" t="n">
        <f aca="false">SUMIFS(Data_Market!$D$2:$D$500,Data_Market!$B$2:$B$500,L$18,Data_Market!$A$2:$A$500,$H26)/SUMIFS(Data_Market!$D$2:$D$500,Data_Market!$B$2:$B$500,L$18,Data_Market!$A$2:$A$500,$B$3)*100</f>
        <v>89.4179894179894</v>
      </c>
      <c r="M26" s="27" t="n">
        <f aca="false">SUMIFS(Data_Market!$D$2:$D$500,Data_Market!$B$2:$B$500,M$18,Data_Market!$A$2:$A$500,$H26)/SUMIFS(Data_Market!$D$2:$D$500,Data_Market!$B$2:$B$500,M$18,Data_Market!$A$2:$A$500,$B$3)*100</f>
        <v>90.138067061144</v>
      </c>
      <c r="N26" s="2"/>
      <c r="O26" s="2"/>
      <c r="P26" s="2"/>
      <c r="Q26" s="2"/>
      <c r="R26" s="2"/>
      <c r="S26" s="2"/>
    </row>
    <row r="27" customFormat="false" ht="15" hidden="false" customHeight="false" outlineLevel="0" collapsed="false">
      <c r="A27" s="34" t="n">
        <f aca="false">A26+1</f>
        <v>2022</v>
      </c>
      <c r="B27" s="27" t="n">
        <f aca="false">SUMIFS(Data_Market!$C$2:$C$500,Data_Market!$B$2:$B$500,B$18,Data_Market!$A$2:$A$500,$A27)/SUMIFS(Data_Market!$C$2:$C$500,Data_Market!$B$2:$B$500,B$18,Data_Market!$A$2:$A$500,$B$3)*100</f>
        <v>117.674694752059</v>
      </c>
      <c r="C27" s="27" t="n">
        <f aca="false">SUMIFS(Data_Market!$C$2:$C$500,Data_Market!$B$2:$B$500,C$18,Data_Market!$A$2:$A$500,$A27)/SUMIFS(Data_Market!$C$2:$C$500,Data_Market!$B$2:$B$500,C$18,Data_Market!$A$2:$A$500,$B$3)*100</f>
        <v>140.947075208914</v>
      </c>
      <c r="D27" s="27" t="n">
        <f aca="false">SUMIFS(Data_Market!$C$2:$C$500,Data_Market!$B$2:$B$500,D$18,Data_Market!$A$2:$A$500,$A27)/SUMIFS(Data_Market!$C$2:$C$500,Data_Market!$B$2:$B$500,D$18,Data_Market!$A$2:$A$500,$B$3)*100</f>
        <v>150.054573237284</v>
      </c>
      <c r="E27" s="27" t="n">
        <f aca="false">SUMIFS(Data_Market!$C$2:$C$500,Data_Market!$B$2:$B$500,E$18,Data_Market!$A$2:$A$500,$A27)/SUMIFS(Data_Market!$C$2:$C$500,Data_Market!$B$2:$B$500,E$18,Data_Market!$A$2:$A$500,$B$3)*100</f>
        <v>90.7381753413814</v>
      </c>
      <c r="F27" s="27" t="n">
        <f aca="false">SUMIFS(Data_Market!$C$2:$C$500,Data_Market!$B$2:$B$500,F$18,Data_Market!$A$2:$A$500,$A27)/SUMIFS(Data_Market!$C$2:$C$500,Data_Market!$B$2:$B$500,F$18,Data_Market!$A$2:$A$500,$B$3)*100</f>
        <v>53.8461538461539</v>
      </c>
      <c r="G27" s="2"/>
      <c r="H27" s="34" t="n">
        <f aca="false">A27</f>
        <v>2022</v>
      </c>
      <c r="I27" s="27" t="n">
        <f aca="false">SUMIFS(Data_Market!$D$2:$D$500,Data_Market!$B$2:$B$500,I$18,Data_Market!$A$2:$A$500,$H27)/SUMIFS(Data_Market!$D$2:$D$500,Data_Market!$B$2:$B$500,I$18,Data_Market!$A$2:$A$500,$B$3)*100</f>
        <v>106.173438447544</v>
      </c>
      <c r="J27" s="27" t="n">
        <f aca="false">SUMIFS(Data_Market!$D$2:$D$500,Data_Market!$B$2:$B$500,J$18,Data_Market!$A$2:$A$500,$H27)/SUMIFS(Data_Market!$D$2:$D$500,Data_Market!$B$2:$B$500,J$18,Data_Market!$A$2:$A$500,$B$3)*100</f>
        <v>133.448753462604</v>
      </c>
      <c r="K27" s="27" t="n">
        <f aca="false">SUMIFS(Data_Market!$D$2:$D$500,Data_Market!$B$2:$B$500,K$18,Data_Market!$A$2:$A$500,$H27)/SUMIFS(Data_Market!$D$2:$D$500,Data_Market!$B$2:$B$500,K$18,Data_Market!$A$2:$A$500,$B$3)*100</f>
        <v>172.955974842767</v>
      </c>
      <c r="L27" s="27" t="n">
        <f aca="false">SUMIFS(Data_Market!$D$2:$D$500,Data_Market!$B$2:$B$500,L$18,Data_Market!$A$2:$A$500,$H27)/SUMIFS(Data_Market!$D$2:$D$500,Data_Market!$B$2:$B$500,L$18,Data_Market!$A$2:$A$500,$B$3)*100</f>
        <v>86.2433862433862</v>
      </c>
      <c r="M27" s="27" t="n">
        <f aca="false">SUMIFS(Data_Market!$D$2:$D$500,Data_Market!$B$2:$B$500,M$18,Data_Market!$A$2:$A$500,$H27)/SUMIFS(Data_Market!$D$2:$D$500,Data_Market!$B$2:$B$500,M$18,Data_Market!$A$2:$A$500,$B$3)*100</f>
        <v>97.2386587771203</v>
      </c>
      <c r="N27" s="2"/>
      <c r="O27" s="2"/>
      <c r="P27" s="2"/>
      <c r="Q27" s="2"/>
      <c r="R27" s="2"/>
      <c r="S27" s="2"/>
    </row>
    <row r="28" customFormat="false" ht="15" hidden="false" customHeight="false" outlineLevel="0" collapsed="false">
      <c r="A28" s="34" t="n">
        <f aca="false">A27+1</f>
        <v>2023</v>
      </c>
      <c r="B28" s="27" t="n">
        <f aca="false">SUMIFS(Data_Market!$C$2:$C$500,Data_Market!$B$2:$B$500,B$18,Data_Market!$A$2:$A$500,$A28)/SUMIFS(Data_Market!$C$2:$C$500,Data_Market!$B$2:$B$500,B$18,Data_Market!$A$2:$A$500,$B$3)*100</f>
        <v>121.926224218488</v>
      </c>
      <c r="C28" s="27" t="n">
        <f aca="false">SUMIFS(Data_Market!$C$2:$C$500,Data_Market!$B$2:$B$500,C$18,Data_Market!$A$2:$A$500,$A28)/SUMIFS(Data_Market!$C$2:$C$500,Data_Market!$B$2:$B$500,C$18,Data_Market!$A$2:$A$500,$B$3)*100</f>
        <v>156.499535747447</v>
      </c>
      <c r="D28" s="27" t="n">
        <f aca="false">SUMIFS(Data_Market!$C$2:$C$500,Data_Market!$B$2:$B$500,D$18,Data_Market!$A$2:$A$500,$A28)/SUMIFS(Data_Market!$C$2:$C$500,Data_Market!$B$2:$B$500,D$18,Data_Market!$A$2:$A$500,$B$3)*100</f>
        <v>169.220694171578</v>
      </c>
      <c r="E28" s="27" t="n">
        <f aca="false">SUMIFS(Data_Market!$C$2:$C$500,Data_Market!$B$2:$B$500,E$18,Data_Market!$A$2:$A$500,$A28)/SUMIFS(Data_Market!$C$2:$C$500,Data_Market!$B$2:$B$500,E$18,Data_Market!$A$2:$A$500,$B$3)*100</f>
        <v>91.1141895903424</v>
      </c>
      <c r="F28" s="27" t="n">
        <f aca="false">SUMIFS(Data_Market!$C$2:$C$500,Data_Market!$B$2:$B$500,F$18,Data_Market!$A$2:$A$500,$A28)/SUMIFS(Data_Market!$C$2:$C$500,Data_Market!$B$2:$B$500,F$18,Data_Market!$A$2:$A$500,$B$3)*100</f>
        <v>38.4615384615385</v>
      </c>
      <c r="G28" s="2"/>
      <c r="H28" s="34" t="n">
        <f aca="false">A28</f>
        <v>2023</v>
      </c>
      <c r="I28" s="27" t="n">
        <f aca="false">SUMIFS(Data_Market!$D$2:$D$500,Data_Market!$B$2:$B$500,I$18,Data_Market!$A$2:$A$500,$H28)/SUMIFS(Data_Market!$D$2:$D$500,Data_Market!$B$2:$B$500,I$18,Data_Market!$A$2:$A$500,$B$3)*100</f>
        <v>106.525166767738</v>
      </c>
      <c r="J28" s="27" t="n">
        <f aca="false">SUMIFS(Data_Market!$D$2:$D$500,Data_Market!$B$2:$B$500,J$18,Data_Market!$A$2:$A$500,$H28)/SUMIFS(Data_Market!$D$2:$D$500,Data_Market!$B$2:$B$500,J$18,Data_Market!$A$2:$A$500,$B$3)*100</f>
        <v>138.711911357341</v>
      </c>
      <c r="K28" s="27" t="n">
        <f aca="false">SUMIFS(Data_Market!$D$2:$D$500,Data_Market!$B$2:$B$500,K$18,Data_Market!$A$2:$A$500,$H28)/SUMIFS(Data_Market!$D$2:$D$500,Data_Market!$B$2:$B$500,K$18,Data_Market!$A$2:$A$500,$B$3)*100</f>
        <v>275.471698113208</v>
      </c>
      <c r="L28" s="27" t="n">
        <f aca="false">SUMIFS(Data_Market!$D$2:$D$500,Data_Market!$B$2:$B$500,L$18,Data_Market!$A$2:$A$500,$H28)/SUMIFS(Data_Market!$D$2:$D$500,Data_Market!$B$2:$B$500,L$18,Data_Market!$A$2:$A$500,$B$3)*100</f>
        <v>81.4814814814815</v>
      </c>
      <c r="M28" s="27" t="n">
        <f aca="false">SUMIFS(Data_Market!$D$2:$D$500,Data_Market!$B$2:$B$500,M$18,Data_Market!$A$2:$A$500,$H28)/SUMIFS(Data_Market!$D$2:$D$500,Data_Market!$B$2:$B$500,M$18,Data_Market!$A$2:$A$500,$B$3)*100</f>
        <v>97.0414201183432</v>
      </c>
      <c r="N28" s="2"/>
      <c r="O28" s="2"/>
      <c r="P28" s="2"/>
      <c r="Q28" s="2"/>
      <c r="R28" s="2"/>
      <c r="S28" s="2"/>
    </row>
    <row r="29" customFormat="false" ht="15" hidden="false" customHeight="false" outlineLevel="0" collapsed="false">
      <c r="A29" s="34" t="n">
        <f aca="false">A28+1</f>
        <v>2024</v>
      </c>
      <c r="B29" s="27" t="n">
        <f aca="false">SUMIFS(Data_Market!$C$2:$C$500,Data_Market!$B$2:$B$500,B$18,Data_Market!$A$2:$A$500,$A29)/SUMIFS(Data_Market!$C$2:$C$500,Data_Market!$B$2:$B$500,B$18,Data_Market!$A$2:$A$500,$B$3)*100</f>
        <v>123.389865510209</v>
      </c>
      <c r="C29" s="27" t="n">
        <f aca="false">SUMIFS(Data_Market!$C$2:$C$500,Data_Market!$B$2:$B$500,C$18,Data_Market!$A$2:$A$500,$A29)/SUMIFS(Data_Market!$C$2:$C$500,Data_Market!$B$2:$B$500,C$18,Data_Market!$A$2:$A$500,$B$3)*100</f>
        <v>167.920148560817</v>
      </c>
      <c r="D29" s="27" t="n">
        <f aca="false">SUMIFS(Data_Market!$C$2:$C$500,Data_Market!$B$2:$B$500,D$18,Data_Market!$A$2:$A$500,$A29)/SUMIFS(Data_Market!$C$2:$C$500,Data_Market!$B$2:$B$500,D$18,Data_Market!$A$2:$A$500,$B$3)*100</f>
        <v>182.514734774067</v>
      </c>
      <c r="E29" s="27" t="n">
        <f aca="false">SUMIFS(Data_Market!$C$2:$C$500,Data_Market!$B$2:$B$500,E$18,Data_Market!$A$2:$A$500,$A29)/SUMIFS(Data_Market!$C$2:$C$500,Data_Market!$B$2:$B$500,E$18,Data_Market!$A$2:$A$500,$B$3)*100</f>
        <v>91.6089451810805</v>
      </c>
      <c r="F29" s="27" t="n">
        <f aca="false">SUMIFS(Data_Market!$C$2:$C$500,Data_Market!$B$2:$B$500,F$18,Data_Market!$A$2:$A$500,$A29)/SUMIFS(Data_Market!$C$2:$C$500,Data_Market!$B$2:$B$500,F$18,Data_Market!$A$2:$A$500,$B$3)*100</f>
        <v>38.4615384615385</v>
      </c>
      <c r="G29" s="2"/>
      <c r="H29" s="34" t="n">
        <f aca="false">A29</f>
        <v>2024</v>
      </c>
      <c r="I29" s="27" t="n">
        <f aca="false">SUMIFS(Data_Market!$D$2:$D$500,Data_Market!$B$2:$B$500,I$18,Data_Market!$A$2:$A$500,$H29)/SUMIFS(Data_Market!$D$2:$D$500,Data_Market!$B$2:$B$500,I$18,Data_Market!$A$2:$A$500,$B$3)*100</f>
        <v>111.776834445118</v>
      </c>
      <c r="J29" s="27" t="n">
        <f aca="false">SUMIFS(Data_Market!$D$2:$D$500,Data_Market!$B$2:$B$500,J$18,Data_Market!$A$2:$A$500,$H29)/SUMIFS(Data_Market!$D$2:$D$500,Data_Market!$B$2:$B$500,J$18,Data_Market!$A$2:$A$500,$B$3)*100</f>
        <v>159.072022160665</v>
      </c>
      <c r="K29" s="27" t="n">
        <f aca="false">SUMIFS(Data_Market!$D$2:$D$500,Data_Market!$B$2:$B$500,K$18,Data_Market!$A$2:$A$500,$H29)/SUMIFS(Data_Market!$D$2:$D$500,Data_Market!$B$2:$B$500,K$18,Data_Market!$A$2:$A$500,$B$3)*100</f>
        <v>296.85534591195</v>
      </c>
      <c r="L29" s="27" t="n">
        <f aca="false">SUMIFS(Data_Market!$D$2:$D$500,Data_Market!$B$2:$B$500,L$18,Data_Market!$A$2:$A$500,$H29)/SUMIFS(Data_Market!$D$2:$D$500,Data_Market!$B$2:$B$500,L$18,Data_Market!$A$2:$A$500,$B$3)*100</f>
        <v>80.4232804232804</v>
      </c>
      <c r="M29" s="27" t="n">
        <f aca="false">SUMIFS(Data_Market!$D$2:$D$500,Data_Market!$B$2:$B$500,M$18,Data_Market!$A$2:$A$500,$H29)/SUMIFS(Data_Market!$D$2:$D$500,Data_Market!$B$2:$B$500,M$18,Data_Market!$A$2:$A$500,$B$3)*100</f>
        <v>89.3491124260355</v>
      </c>
      <c r="N29" s="2"/>
      <c r="O29" s="2"/>
      <c r="P29" s="2"/>
      <c r="Q29" s="2"/>
      <c r="R29" s="2"/>
      <c r="S29" s="2"/>
    </row>
  </sheetData>
  <conditionalFormatting sqref="E9:F13">
    <cfRule type="colorScale" priority="2">
      <colorScale>
        <cfvo type="min" val="0"/>
        <cfvo type="num" val="0"/>
        <cfvo type="max" val="0"/>
        <color rgb="FFF8B4B4"/>
        <color rgb="FFFFFFFF"/>
        <color rgb="FFA8D5BA"/>
      </colorScale>
    </cfRule>
  </conditionalFormatting>
  <conditionalFormatting sqref="K9:L13">
    <cfRule type="colorScale" priority="3">
      <colorScale>
        <cfvo type="min" val="0"/>
        <cfvo type="num" val="0"/>
        <cfvo type="max" val="0"/>
        <color rgb="FFF8B4B4"/>
        <color rgb="FFFFFFFF"/>
        <color rgb="FFA8D5BA"/>
      </colorScale>
    </cfRule>
  </conditionalFormatting>
  <conditionalFormatting sqref="G9:G13">
    <cfRule type="dataBar" priority="4">
      <dataBar showValue="1" minLength="10" maxLength="90">
        <cfvo type="num" val="0"/>
        <cfvo type="num" val="1"/>
        <color rgb="FF5B8DB8"/>
      </dataBar>
      <extLst>
        <ext xmlns:x14="http://schemas.microsoft.com/office/spreadsheetml/2009/9/main" uri="{B025F937-C7B1-47D3-B67F-A62EFF666E3E}">
          <x14:id>{82585040-DAA1-42DB-9DE6-126D1582E577}</x14:id>
        </ext>
      </extLst>
    </cfRule>
  </conditionalFormatting>
  <conditionalFormatting sqref="M9:M13">
    <cfRule type="dataBar" priority="5">
      <dataBar showValue="1" minLength="10" maxLength="90">
        <cfvo type="num" val="0"/>
        <cfvo type="num" val="1"/>
        <color rgb="FFE39A4B"/>
      </dataBar>
      <extLst>
        <ext xmlns:x14="http://schemas.microsoft.com/office/spreadsheetml/2009/9/main" uri="{B025F937-C7B1-47D3-B67F-A62EFF666E3E}">
          <x14:id>{E55B2F80-7E86-41FE-A892-5E61299D8792}</x14:id>
        </ext>
      </extLst>
    </cfRule>
  </conditionalFormatting>
  <conditionalFormatting sqref="R9:S13">
    <cfRule type="cellIs" priority="6" operator="greaterThan" aboveAverage="0" equalAverage="0" bottom="0" percent="0" rank="0" text="" dxfId="0">
      <formula>0.4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585040-DAA1-42DB-9DE6-126D1582E577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8DB8"/>
              <x14:axisColor rgb="FF000000"/>
            </x14:dataBar>
          </x14:cfRule>
          <xm:sqref>G9:G13</xm:sqref>
        </x14:conditionalFormatting>
        <x14:conditionalFormatting xmlns:xm="http://schemas.microsoft.com/office/excel/2006/main">
          <x14:cfRule type="dataBar" id="{E55B2F80-7E86-41FE-A892-5E61299D879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E39A4B"/>
              <x14:axisColor rgb="FF000000"/>
            </x14:dataBar>
          </x14:cfRule>
          <xm:sqref>M9:M13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4" min="3" style="0" width="13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1" min="10" style="0" width="16"/>
    <col collapsed="false" customWidth="true" hidden="false" outlineLevel="0" max="12" min="12" style="0" width="44"/>
  </cols>
  <sheetData>
    <row r="1" customFormat="false" ht="25.5" hidden="false" customHeight="true" outlineLevel="0" collapsed="false">
      <c r="A1" s="1" t="s">
        <v>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14" t="s">
        <v>100</v>
      </c>
      <c r="B3" s="35" t="n">
        <v>2023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14" t="s">
        <v>67</v>
      </c>
      <c r="B4" s="35" t="n">
        <v>2024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customFormat="false" ht="61.5" hidden="false" customHeight="true" outlineLevel="0" collapsed="false">
      <c r="A7" s="4" t="s">
        <v>101</v>
      </c>
      <c r="B7" s="4" t="s">
        <v>69</v>
      </c>
      <c r="C7" s="4" t="s">
        <v>102</v>
      </c>
      <c r="D7" s="4" t="s">
        <v>103</v>
      </c>
      <c r="E7" s="4" t="s">
        <v>104</v>
      </c>
      <c r="F7" s="4" t="s">
        <v>105</v>
      </c>
      <c r="G7" s="4" t="s">
        <v>106</v>
      </c>
      <c r="H7" s="4" t="s">
        <v>107</v>
      </c>
      <c r="I7" s="4" t="s">
        <v>108</v>
      </c>
      <c r="J7" s="4" t="s">
        <v>109</v>
      </c>
      <c r="K7" s="4" t="s">
        <v>110</v>
      </c>
      <c r="L7" s="4" t="s">
        <v>111</v>
      </c>
    </row>
    <row r="8" customFormat="false" ht="15" hidden="false" customHeight="false" outlineLevel="0" collapsed="false">
      <c r="A8" s="23" t="s">
        <v>112</v>
      </c>
      <c r="B8" s="23" t="s">
        <v>90</v>
      </c>
      <c r="C8" s="26" t="n">
        <f aca="false">IF(COUNTIFS(Data_Trade!$A$2:$A$200,$B$3,Data_Trade!$B$2:$B$200,$A8,Data_Trade!$C$2:$C$200,$B8)=0,"n/a",SUMIFS(Data_Trade!$D$2:$D$200,Data_Trade!$A$2:$A$200,$B$3,Data_Trade!$B$2:$B$200,$A8,Data_Trade!$C$2:$C$200,$B8))</f>
        <v>10</v>
      </c>
      <c r="D8" s="26" t="n">
        <f aca="false">IF(COUNTIFS(Data_Trade!$A$2:$A$200,$B$4,Data_Trade!$B$2:$B$200,$A8,Data_Trade!$C$2:$C$200,$B8)=0,"n/a",SUMIFS(Data_Trade!$D$2:$D$200,Data_Trade!$A$2:$A$200,$B$4,Data_Trade!$B$2:$B$200,$A8,Data_Trade!$C$2:$C$200,$B8))</f>
        <v>10.72</v>
      </c>
      <c r="E8" s="25" t="n">
        <f aca="false">IF(AND(ISNUMBER(C8),ISNUMBER(D8)),D8/C8-1,"n/a")</f>
        <v>0.0720000000000001</v>
      </c>
      <c r="F8" s="27" t="n">
        <f aca="false">IF(COUNTIFS(Data_Trade!$A$2:$A$200,$B$3,Data_Trade!$B$2:$B$200,$A8,Data_Trade!$C$2:$C$200,$B8)=0,"n/a",SUMIFS(Data_Trade!$E$2:$E$200,Data_Trade!$A$2:$A$200,$B$3,Data_Trade!$B$2:$B$200,$A8,Data_Trade!$C$2:$C$200,$B8))</f>
        <v>28.2</v>
      </c>
      <c r="G8" s="27" t="n">
        <f aca="false">IF(COUNTIFS(Data_Trade!$A$2:$A$200,$B$4,Data_Trade!$B$2:$B$200,$A8,Data_Trade!$C$2:$C$200,$B8)=0,"n/a",SUMIFS(Data_Trade!$E$2:$E$200,Data_Trade!$A$2:$A$200,$B$4,Data_Trade!$B$2:$B$200,$A8,Data_Trade!$C$2:$C$200,$B8))</f>
        <v>29.8</v>
      </c>
      <c r="H8" s="36" t="n">
        <f aca="false">IF(AND(ISNUMBER(F8),ISNUMBER(G8)),G8-F8,"n/a")</f>
        <v>1.6</v>
      </c>
      <c r="I8" s="37" t="str">
        <f aca="false">IF(AND(ISNUMBER(C8),ISNUMBER(D8)),"Yes","No")</f>
        <v>Yes</v>
      </c>
      <c r="J8" s="26" t="n">
        <f aca="false">IFERROR(INDEX(Data_Market!$D$2:$D$500,MATCH($B8&amp;"|"&amp;$B$4,Data_Market!$E$2:$E$500,0)),"n/a")</f>
        <v>4.72</v>
      </c>
      <c r="K8" s="38" t="n">
        <f aca="false">IF(AND(ISNUMBER(D8),ISNUMBER(J8)),D8/J8,"n/a")</f>
        <v>2.27118644067797</v>
      </c>
      <c r="L8" s="9" t="str">
        <f aca="false">IF(I8="No","Missing in one year: excluded from comparisons",IF(E8&gt;0.05,"Volume up more than 5%",IF(E8&lt;-0.02,"Volume down","Broadly stable")))</f>
        <v>Volume up more than 5%</v>
      </c>
    </row>
    <row r="9" customFormat="false" ht="15" hidden="false" customHeight="false" outlineLevel="0" collapsed="false">
      <c r="A9" s="23" t="s">
        <v>112</v>
      </c>
      <c r="B9" s="23" t="s">
        <v>91</v>
      </c>
      <c r="C9" s="26" t="n">
        <f aca="false">IF(COUNTIFS(Data_Trade!$A$2:$A$200,$B$3,Data_Trade!$B$2:$B$200,$A9,Data_Trade!$C$2:$C$200,$B9)=0,"n/a",SUMIFS(Data_Trade!$D$2:$D$200,Data_Trade!$A$2:$A$200,$B$3,Data_Trade!$B$2:$B$200,$A9,Data_Trade!$C$2:$C$200,$B9))</f>
        <v>9</v>
      </c>
      <c r="D9" s="26" t="n">
        <f aca="false">IF(COUNTIFS(Data_Trade!$A$2:$A$200,$B$4,Data_Trade!$B$2:$B$200,$A9,Data_Trade!$C$2:$C$200,$B9)=0,"n/a",SUMIFS(Data_Trade!$D$2:$D$200,Data_Trade!$A$2:$A$200,$B$4,Data_Trade!$B$2:$B$200,$A9,Data_Trade!$C$2:$C$200,$B9))</f>
        <v>9.07</v>
      </c>
      <c r="E9" s="25" t="n">
        <f aca="false">IF(AND(ISNUMBER(C9),ISNUMBER(D9)),D9/C9-1,"n/a")</f>
        <v>0.00777777777777788</v>
      </c>
      <c r="F9" s="27" t="n">
        <f aca="false">IF(COUNTIFS(Data_Trade!$A$2:$A$200,$B$3,Data_Trade!$B$2:$B$200,$A9,Data_Trade!$C$2:$C$200,$B9)=0,"n/a",SUMIFS(Data_Trade!$E$2:$E$200,Data_Trade!$A$2:$A$200,$B$3,Data_Trade!$B$2:$B$200,$A9,Data_Trade!$C$2:$C$200,$B9))</f>
        <v>25.4</v>
      </c>
      <c r="G9" s="27" t="n">
        <f aca="false">IF(COUNTIFS(Data_Trade!$A$2:$A$200,$B$4,Data_Trade!$B$2:$B$200,$A9,Data_Trade!$C$2:$C$200,$B9)=0,"n/a",SUMIFS(Data_Trade!$E$2:$E$200,Data_Trade!$A$2:$A$200,$B$4,Data_Trade!$B$2:$B$200,$A9,Data_Trade!$C$2:$C$200,$B9))</f>
        <v>25.2</v>
      </c>
      <c r="H9" s="36" t="n">
        <f aca="false">IF(AND(ISNUMBER(F9),ISNUMBER(G9)),G9-F9,"n/a")</f>
        <v>-0.199999999999999</v>
      </c>
      <c r="I9" s="37" t="str">
        <f aca="false">IF(AND(ISNUMBER(C9),ISNUMBER(D9)),"Yes","No")</f>
        <v>Yes</v>
      </c>
      <c r="J9" s="26" t="n">
        <f aca="false">IFERROR(INDEX(Data_Market!$D$2:$D$500,MATCH($B9&amp;"|"&amp;$B$4,Data_Market!$E$2:$E$500,0)),"n/a")</f>
        <v>1.52</v>
      </c>
      <c r="K9" s="38" t="n">
        <f aca="false">IF(AND(ISNUMBER(D9),ISNUMBER(J9)),D9/J9,"n/a")</f>
        <v>5.9671052631579</v>
      </c>
      <c r="L9" s="9" t="str">
        <f aca="false">IF(I9="No","Missing in one year: excluded from comparisons",IF(E9&gt;0.05,"Volume up more than 5%",IF(E9&lt;-0.02,"Volume down","Broadly stable")))</f>
        <v>Broadly stable</v>
      </c>
    </row>
    <row r="10" customFormat="false" ht="15" hidden="false" customHeight="false" outlineLevel="0" collapsed="false">
      <c r="A10" s="23" t="s">
        <v>112</v>
      </c>
      <c r="B10" s="23" t="s">
        <v>113</v>
      </c>
      <c r="C10" s="26" t="n">
        <f aca="false">IF(COUNTIFS(Data_Trade!$A$2:$A$200,$B$3,Data_Trade!$B$2:$B$200,$A10,Data_Trade!$C$2:$C$200,$B10)=0,"n/a",SUMIFS(Data_Trade!$D$2:$D$200,Data_Trade!$A$2:$A$200,$B$3,Data_Trade!$B$2:$B$200,$A10,Data_Trade!$C$2:$C$200,$B10))</f>
        <v>5.39</v>
      </c>
      <c r="D10" s="26" t="str">
        <f aca="false">IF(COUNTIFS(Data_Trade!$A$2:$A$200,$B$4,Data_Trade!$B$2:$B$200,$A10,Data_Trade!$C$2:$C$200,$B10)=0,"n/a",SUMIFS(Data_Trade!$D$2:$D$200,Data_Trade!$A$2:$A$200,$B$4,Data_Trade!$B$2:$B$200,$A10,Data_Trade!$C$2:$C$200,$B10))</f>
        <v>n/a</v>
      </c>
      <c r="E10" s="25" t="str">
        <f aca="false">IF(AND(ISNUMBER(C10),ISNUMBER(D10)),D10/C10-1,"n/a")</f>
        <v>n/a</v>
      </c>
      <c r="F10" s="27" t="n">
        <f aca="false">IF(COUNTIFS(Data_Trade!$A$2:$A$200,$B$3,Data_Trade!$B$2:$B$200,$A10,Data_Trade!$C$2:$C$200,$B10)=0,"n/a",SUMIFS(Data_Trade!$E$2:$E$200,Data_Trade!$A$2:$A$200,$B$3,Data_Trade!$B$2:$B$200,$A10,Data_Trade!$C$2:$C$200,$B10))</f>
        <v>15.2</v>
      </c>
      <c r="G10" s="27" t="str">
        <f aca="false">IF(COUNTIFS(Data_Trade!$A$2:$A$200,$B$4,Data_Trade!$B$2:$B$200,$A10,Data_Trade!$C$2:$C$200,$B10)=0,"n/a",SUMIFS(Data_Trade!$E$2:$E$200,Data_Trade!$A$2:$A$200,$B$4,Data_Trade!$B$2:$B$200,$A10,Data_Trade!$C$2:$C$200,$B10))</f>
        <v>n/a</v>
      </c>
      <c r="H10" s="36" t="str">
        <f aca="false">IF(AND(ISNUMBER(F10),ISNUMBER(G10)),G10-F10,"n/a")</f>
        <v>n/a</v>
      </c>
      <c r="I10" s="37" t="str">
        <f aca="false">IF(AND(ISNUMBER(C10),ISNUMBER(D10)),"Yes","No")</f>
        <v>No</v>
      </c>
      <c r="J10" s="26" t="str">
        <f aca="false">IFERROR(INDEX(Data_Market!$D$2:$D$500,MATCH($B10&amp;"|"&amp;$B$4,Data_Market!$E$2:$E$500,0)),"n/a")</f>
        <v>n/a</v>
      </c>
      <c r="K10" s="38" t="str">
        <f aca="false">IF(AND(ISNUMBER(D10),ISNUMBER(J10)),D10/J10,"n/a")</f>
        <v>n/a</v>
      </c>
      <c r="L10" s="9" t="str">
        <f aca="false">IF(I10="No","Missing in one year: excluded from comparisons",IF(E10&gt;0.05,"Volume up more than 5%",IF(E10&lt;-0.02,"Volume down","Broadly stable")))</f>
        <v>Missing in one year: excluded from comparisons</v>
      </c>
    </row>
    <row r="11" customFormat="false" ht="15" hidden="false" customHeight="false" outlineLevel="0" collapsed="false">
      <c r="A11" s="23" t="s">
        <v>114</v>
      </c>
      <c r="B11" s="23" t="s">
        <v>88</v>
      </c>
      <c r="C11" s="26" t="n">
        <f aca="false">IF(COUNTIFS(Data_Trade!$A$2:$A$200,$B$3,Data_Trade!$B$2:$B$200,$A11,Data_Trade!$C$2:$C$200,$B11)=0,"n/a",SUMIFS(Data_Trade!$D$2:$D$200,Data_Trade!$A$2:$A$200,$B$3,Data_Trade!$B$2:$B$200,$A11,Data_Trade!$C$2:$C$200,$B11))</f>
        <v>10.16</v>
      </c>
      <c r="D11" s="26" t="n">
        <f aca="false">IF(COUNTIFS(Data_Trade!$A$2:$A$200,$B$4,Data_Trade!$B$2:$B$200,$A11,Data_Trade!$C$2:$C$200,$B11)=0,"n/a",SUMIFS(Data_Trade!$D$2:$D$200,Data_Trade!$A$2:$A$200,$B$4,Data_Trade!$B$2:$B$200,$A11,Data_Trade!$C$2:$C$200,$B11))</f>
        <v>11.62</v>
      </c>
      <c r="E11" s="25" t="n">
        <f aca="false">IF(AND(ISNUMBER(C11),ISNUMBER(D11)),D11/C11-1,"n/a")</f>
        <v>0.143700787401575</v>
      </c>
      <c r="F11" s="27" t="n">
        <f aca="false">IF(COUNTIFS(Data_Trade!$A$2:$A$200,$B$3,Data_Trade!$B$2:$B$200,$A11,Data_Trade!$C$2:$C$200,$B11)=0,"n/a",SUMIFS(Data_Trade!$E$2:$E$200,Data_Trade!$A$2:$A$200,$B$3,Data_Trade!$B$2:$B$200,$A11,Data_Trade!$C$2:$C$200,$B11))</f>
        <v>28.7</v>
      </c>
      <c r="G11" s="27" t="n">
        <f aca="false">IF(COUNTIFS(Data_Trade!$A$2:$A$200,$B$4,Data_Trade!$B$2:$B$200,$A11,Data_Trade!$C$2:$C$200,$B11)=0,"n/a",SUMIFS(Data_Trade!$E$2:$E$200,Data_Trade!$A$2:$A$200,$B$4,Data_Trade!$B$2:$B$200,$A11,Data_Trade!$C$2:$C$200,$B11))</f>
        <v>32.3</v>
      </c>
      <c r="H11" s="36" t="n">
        <f aca="false">IF(AND(ISNUMBER(F11),ISNUMBER(G11)),G11-F11,"n/a")</f>
        <v>3.6</v>
      </c>
      <c r="I11" s="37" t="str">
        <f aca="false">IF(AND(ISNUMBER(C11),ISNUMBER(D11)),"Yes","No")</f>
        <v>Yes</v>
      </c>
      <c r="J11" s="26" t="n">
        <f aca="false">IFERROR(INDEX(Data_Market!$D$2:$D$500,MATCH($B11&amp;"|"&amp;$B$4,Data_Market!$E$2:$E$500,0)),"n/a")</f>
        <v>92.16</v>
      </c>
      <c r="K11" s="38" t="n">
        <f aca="false">IF(AND(ISNUMBER(D11),ISNUMBER(J11)),D11/J11,"n/a")</f>
        <v>0.126085069444444</v>
      </c>
      <c r="L11" s="9" t="str">
        <f aca="false">IF(I11="No","Missing in one year: excluded from comparisons",IF(E11&gt;0.05,"Volume up more than 5%",IF(E11&lt;-0.02,"Volume down","Broadly stable")))</f>
        <v>Volume up more than 5%</v>
      </c>
    </row>
    <row r="12" customFormat="false" ht="15" hidden="false" customHeight="false" outlineLevel="0" collapsed="false">
      <c r="A12" s="23" t="s">
        <v>114</v>
      </c>
      <c r="B12" s="23" t="s">
        <v>89</v>
      </c>
      <c r="C12" s="26" t="n">
        <f aca="false">IF(COUNTIFS(Data_Trade!$A$2:$A$200,$B$3,Data_Trade!$B$2:$B$200,$A12,Data_Trade!$C$2:$C$200,$B12)=0,"n/a",SUMIFS(Data_Trade!$D$2:$D$200,Data_Trade!$A$2:$A$200,$B$3,Data_Trade!$B$2:$B$200,$A12,Data_Trade!$C$2:$C$200,$B12))</f>
        <v>5.35</v>
      </c>
      <c r="D12" s="26" t="n">
        <f aca="false">IF(COUNTIFS(Data_Trade!$A$2:$A$200,$B$4,Data_Trade!$B$2:$B$200,$A12,Data_Trade!$C$2:$C$200,$B12)=0,"n/a",SUMIFS(Data_Trade!$D$2:$D$200,Data_Trade!$A$2:$A$200,$B$4,Data_Trade!$B$2:$B$200,$A12,Data_Trade!$C$2:$C$200,$B12))</f>
        <v>5.3</v>
      </c>
      <c r="E12" s="25" t="n">
        <f aca="false">IF(AND(ISNUMBER(C12),ISNUMBER(D12)),D12/C12-1,"n/a")</f>
        <v>-0.00934579439252337</v>
      </c>
      <c r="F12" s="27" t="n">
        <f aca="false">IF(COUNTIFS(Data_Trade!$A$2:$A$200,$B$3,Data_Trade!$B$2:$B$200,$A12,Data_Trade!$C$2:$C$200,$B12)=0,"n/a",SUMIFS(Data_Trade!$E$2:$E$200,Data_Trade!$A$2:$A$200,$B$3,Data_Trade!$B$2:$B$200,$A12,Data_Trade!$C$2:$C$200,$B12))</f>
        <v>15.1</v>
      </c>
      <c r="G12" s="27" t="n">
        <f aca="false">IF(COUNTIFS(Data_Trade!$A$2:$A$200,$B$4,Data_Trade!$B$2:$B$200,$A12,Data_Trade!$C$2:$C$200,$B12)=0,"n/a",SUMIFS(Data_Trade!$E$2:$E$200,Data_Trade!$A$2:$A$200,$B$4,Data_Trade!$B$2:$B$200,$A12,Data_Trade!$C$2:$C$200,$B12))</f>
        <v>14.7</v>
      </c>
      <c r="H12" s="36" t="n">
        <f aca="false">IF(AND(ISNUMBER(F12),ISNUMBER(G12)),G12-F12,"n/a")</f>
        <v>-0.4</v>
      </c>
      <c r="I12" s="37" t="str">
        <f aca="false">IF(AND(ISNUMBER(C12),ISNUMBER(D12)),"Yes","No")</f>
        <v>Yes</v>
      </c>
      <c r="J12" s="26" t="n">
        <f aca="false">IFERROR(INDEX(Data_Market!$D$2:$D$500,MATCH($B12&amp;"|"&amp;$B$4,Data_Market!$E$2:$E$500,0)),"n/a")</f>
        <v>22.97</v>
      </c>
      <c r="K12" s="38" t="n">
        <f aca="false">IF(AND(ISNUMBER(D12),ISNUMBER(J12)),D12/J12,"n/a")</f>
        <v>0.230735742272529</v>
      </c>
      <c r="L12" s="9" t="str">
        <f aca="false">IF(I12="No","Missing in one year: excluded from comparisons",IF(E12&gt;0.05,"Volume up more than 5%",IF(E12&lt;-0.02,"Volume down","Broadly stable")))</f>
        <v>Broadly stable</v>
      </c>
    </row>
    <row r="13" customFormat="false" ht="15" hidden="false" customHeight="false" outlineLevel="0" collapsed="false">
      <c r="A13" s="23" t="s">
        <v>114</v>
      </c>
      <c r="B13" s="23" t="s">
        <v>92</v>
      </c>
      <c r="C13" s="26" t="n">
        <f aca="false">IF(COUNTIFS(Data_Trade!$A$2:$A$200,$B$3,Data_Trade!$B$2:$B$200,$A13,Data_Trade!$C$2:$C$200,$B13)=0,"n/a",SUMIFS(Data_Trade!$D$2:$D$200,Data_Trade!$A$2:$A$200,$B$3,Data_Trade!$B$2:$B$200,$A13,Data_Trade!$C$2:$C$200,$B13))</f>
        <v>4.39</v>
      </c>
      <c r="D13" s="26" t="n">
        <f aca="false">IF(COUNTIFS(Data_Trade!$A$2:$A$200,$B$4,Data_Trade!$B$2:$B$200,$A13,Data_Trade!$C$2:$C$200,$B13)=0,"n/a",SUMIFS(Data_Trade!$D$2:$D$200,Data_Trade!$A$2:$A$200,$B$4,Data_Trade!$B$2:$B$200,$A13,Data_Trade!$C$2:$C$200,$B13))</f>
        <v>4.35</v>
      </c>
      <c r="E13" s="25" t="n">
        <f aca="false">IF(AND(ISNUMBER(C13),ISNUMBER(D13)),D13/C13-1,"n/a")</f>
        <v>-0.00911161731207288</v>
      </c>
      <c r="F13" s="27" t="n">
        <f aca="false">IF(COUNTIFS(Data_Trade!$A$2:$A$200,$B$3,Data_Trade!$B$2:$B$200,$A13,Data_Trade!$C$2:$C$200,$B13)=0,"n/a",SUMIFS(Data_Trade!$E$2:$E$200,Data_Trade!$A$2:$A$200,$B$3,Data_Trade!$B$2:$B$200,$A13,Data_Trade!$C$2:$C$200,$B13))</f>
        <v>12.4</v>
      </c>
      <c r="G13" s="27" t="n">
        <f aca="false">IF(COUNTIFS(Data_Trade!$A$2:$A$200,$B$4,Data_Trade!$B$2:$B$200,$A13,Data_Trade!$C$2:$C$200,$B13)=0,"n/a",SUMIFS(Data_Trade!$E$2:$E$200,Data_Trade!$A$2:$A$200,$B$4,Data_Trade!$B$2:$B$200,$A13,Data_Trade!$C$2:$C$200,$B13))</f>
        <v>12.1</v>
      </c>
      <c r="H13" s="36" t="n">
        <f aca="false">IF(AND(ISNUMBER(F13),ISNUMBER(G13)),G13-F13,"n/a")</f>
        <v>-0.300000000000001</v>
      </c>
      <c r="I13" s="37" t="str">
        <f aca="false">IF(AND(ISNUMBER(C13),ISNUMBER(D13)),"Yes","No")</f>
        <v>Yes</v>
      </c>
      <c r="J13" s="26" t="n">
        <f aca="false">IFERROR(INDEX(Data_Market!$D$2:$D$500,MATCH($B13&amp;"|"&amp;$B$4,Data_Market!$E$2:$E$500,0)),"n/a")</f>
        <v>4.53</v>
      </c>
      <c r="K13" s="38" t="n">
        <f aca="false">IF(AND(ISNUMBER(D13),ISNUMBER(J13)),D13/J13,"n/a")</f>
        <v>0.960264900662252</v>
      </c>
      <c r="L13" s="9" t="str">
        <f aca="false">IF(I13="No","Missing in one year: excluded from comparisons",IF(E13&gt;0.05,"Volume up more than 5%",IF(E13&lt;-0.02,"Volume down","Broadly stable")))</f>
        <v>Broadly stable</v>
      </c>
    </row>
    <row r="14" customFormat="false" ht="15" hidden="false" customHeight="false" outlineLevel="0" collapsed="false">
      <c r="A14" s="23" t="s">
        <v>114</v>
      </c>
      <c r="B14" s="23" t="s">
        <v>115</v>
      </c>
      <c r="C14" s="26" t="n">
        <f aca="false">IF(COUNTIFS(Data_Trade!$A$2:$A$200,$B$3,Data_Trade!$B$2:$B$200,$A14,Data_Trade!$C$2:$C$200,$B14)=0,"n/a",SUMIFS(Data_Trade!$D$2:$D$200,Data_Trade!$A$2:$A$200,$B$3,Data_Trade!$B$2:$B$200,$A14,Data_Trade!$C$2:$C$200,$B14))</f>
        <v>3.19</v>
      </c>
      <c r="D14" s="26" t="n">
        <f aca="false">IF(COUNTIFS(Data_Trade!$A$2:$A$200,$B$4,Data_Trade!$B$2:$B$200,$A14,Data_Trade!$C$2:$C$200,$B14)=0,"n/a",SUMIFS(Data_Trade!$D$2:$D$200,Data_Trade!$A$2:$A$200,$B$4,Data_Trade!$B$2:$B$200,$A14,Data_Trade!$C$2:$C$200,$B14))</f>
        <v>3.07</v>
      </c>
      <c r="E14" s="25" t="n">
        <f aca="false">IF(AND(ISNUMBER(C14),ISNUMBER(D14)),D14/C14-1,"n/a")</f>
        <v>-0.0376175548589343</v>
      </c>
      <c r="F14" s="27" t="n">
        <f aca="false">IF(COUNTIFS(Data_Trade!$A$2:$A$200,$B$3,Data_Trade!$B$2:$B$200,$A14,Data_Trade!$C$2:$C$200,$B14)=0,"n/a",SUMIFS(Data_Trade!$E$2:$E$200,Data_Trade!$A$2:$A$200,$B$3,Data_Trade!$B$2:$B$200,$A14,Data_Trade!$C$2:$C$200,$B14))</f>
        <v>9</v>
      </c>
      <c r="G14" s="27" t="n">
        <f aca="false">IF(COUNTIFS(Data_Trade!$A$2:$A$200,$B$4,Data_Trade!$B$2:$B$200,$A14,Data_Trade!$C$2:$C$200,$B14)=0,"n/a",SUMIFS(Data_Trade!$E$2:$E$200,Data_Trade!$A$2:$A$200,$B$4,Data_Trade!$B$2:$B$200,$A14,Data_Trade!$C$2:$C$200,$B14))</f>
        <v>8.5</v>
      </c>
      <c r="H14" s="36" t="n">
        <f aca="false">IF(AND(ISNUMBER(F14),ISNUMBER(G14)),G14-F14,"n/a")</f>
        <v>-0.5</v>
      </c>
      <c r="I14" s="37" t="str">
        <f aca="false">IF(AND(ISNUMBER(C14),ISNUMBER(D14)),"Yes","No")</f>
        <v>Yes</v>
      </c>
      <c r="J14" s="26" t="str">
        <f aca="false">IFERROR(INDEX(Data_Market!$D$2:$D$500,MATCH($B14&amp;"|"&amp;$B$4,Data_Market!$E$2:$E$500,0)),"n/a")</f>
        <v>n/a</v>
      </c>
      <c r="K14" s="38" t="str">
        <f aca="false">IF(AND(ISNUMBER(D14),ISNUMBER(J14)),D14/J14,"n/a")</f>
        <v>n/a</v>
      </c>
      <c r="L14" s="9" t="str">
        <f aca="false">IF(I14="No","Missing in one year: excluded from comparisons",IF(E14&gt;0.05,"Volume up more than 5%",IF(E14&lt;-0.02,"Volume down","Broadly stable")))</f>
        <v>Volume down</v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customFormat="false" ht="15" hidden="false" customHeight="false" outlineLevel="0" collapsed="false">
      <c r="A16" s="14" t="s">
        <v>116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customFormat="false" ht="49.5" hidden="false" customHeight="true" outlineLevel="0" collapsed="false">
      <c r="A17" s="4" t="s">
        <v>101</v>
      </c>
      <c r="B17" s="4" t="s">
        <v>97</v>
      </c>
      <c r="C17" s="4" t="s">
        <v>117</v>
      </c>
      <c r="D17" s="4" t="s">
        <v>118</v>
      </c>
      <c r="E17" s="4" t="s">
        <v>119</v>
      </c>
      <c r="F17" s="4" t="s">
        <v>120</v>
      </c>
      <c r="G17" s="4" t="s">
        <v>121</v>
      </c>
      <c r="H17" s="2"/>
      <c r="I17" s="2"/>
      <c r="J17" s="2"/>
      <c r="K17" s="2"/>
      <c r="L17" s="2"/>
    </row>
    <row r="18" customFormat="false" ht="15" hidden="false" customHeight="false" outlineLevel="0" collapsed="false">
      <c r="A18" s="23" t="s">
        <v>112</v>
      </c>
      <c r="B18" s="34" t="n">
        <f aca="false">$B$3</f>
        <v>2023</v>
      </c>
      <c r="C18" s="34" t="n">
        <f aca="false">COUNTIFS(Data_Trade!$A$2:$A$200,$B18,Data_Trade!$B$2:$B$200,$A18)</f>
        <v>3</v>
      </c>
      <c r="D18" s="27" t="n">
        <f aca="false">SUMIFS(Data_Trade!$E$2:$E$200,Data_Trade!$A$2:$A$200,$B18,Data_Trade!$B$2:$B$200,$A18)</f>
        <v>68.8</v>
      </c>
      <c r="E18" s="27" t="n">
        <f aca="false">SUMPRODUCT(MAX((Data_Trade!$A$2:$A$200=$B18)*(Data_Trade!$B$2:$B$200=$A18)*Data_Trade!$E$2:$E$200))</f>
        <v>28.2</v>
      </c>
      <c r="F18" s="39" t="n">
        <f aca="false">SUMPRODUCT((Data_Trade!$A$2:$A$200=$B18)*(Data_Trade!$B$2:$B$200=$A18)*Data_Trade!$E$2:$E$200^2)</f>
        <v>1671.44</v>
      </c>
      <c r="G18" s="27" t="n">
        <f aca="false">SUMIFS($F$8:$F$14,$A$8:$A$14,$A18,$I$8:$I$14,"Yes")</f>
        <v>53.6</v>
      </c>
      <c r="H18" s="2"/>
      <c r="I18" s="2"/>
      <c r="J18" s="2"/>
      <c r="K18" s="2"/>
      <c r="L18" s="2"/>
    </row>
    <row r="19" customFormat="false" ht="15" hidden="false" customHeight="false" outlineLevel="0" collapsed="false">
      <c r="A19" s="23" t="s">
        <v>112</v>
      </c>
      <c r="B19" s="34" t="n">
        <f aca="false">$B$4</f>
        <v>2024</v>
      </c>
      <c r="C19" s="34" t="n">
        <f aca="false">COUNTIFS(Data_Trade!$A$2:$A$200,$B19,Data_Trade!$B$2:$B$200,$A19)</f>
        <v>2</v>
      </c>
      <c r="D19" s="27" t="n">
        <f aca="false">SUMIFS(Data_Trade!$E$2:$E$200,Data_Trade!$A$2:$A$200,$B19,Data_Trade!$B$2:$B$200,$A19)</f>
        <v>55</v>
      </c>
      <c r="E19" s="27" t="n">
        <f aca="false">SUMPRODUCT(MAX((Data_Trade!$A$2:$A$200=$B19)*(Data_Trade!$B$2:$B$200=$A19)*Data_Trade!$E$2:$E$200))</f>
        <v>29.8</v>
      </c>
      <c r="F19" s="39" t="n">
        <f aca="false">SUMPRODUCT((Data_Trade!$A$2:$A$200=$B19)*(Data_Trade!$B$2:$B$200=$A19)*Data_Trade!$E$2:$E$200^2)</f>
        <v>1523.08</v>
      </c>
      <c r="G19" s="27" t="n">
        <f aca="false">SUMIFS($G$8:$G$14,$A$8:$A$14,$A19,$I$8:$I$14,"Yes")</f>
        <v>55</v>
      </c>
      <c r="H19" s="2"/>
      <c r="I19" s="2"/>
      <c r="J19" s="2"/>
      <c r="K19" s="2"/>
      <c r="L19" s="2"/>
    </row>
    <row r="20" customFormat="false" ht="15" hidden="false" customHeight="false" outlineLevel="0" collapsed="false">
      <c r="A20" s="23" t="s">
        <v>114</v>
      </c>
      <c r="B20" s="34" t="n">
        <f aca="false">$B$3</f>
        <v>2023</v>
      </c>
      <c r="C20" s="34" t="n">
        <f aca="false">COUNTIFS(Data_Trade!$A$2:$A$200,$B20,Data_Trade!$B$2:$B$200,$A20)</f>
        <v>4</v>
      </c>
      <c r="D20" s="27" t="n">
        <f aca="false">SUMIFS(Data_Trade!$E$2:$E$200,Data_Trade!$A$2:$A$200,$B20,Data_Trade!$B$2:$B$200,$A20)</f>
        <v>65.2</v>
      </c>
      <c r="E20" s="27" t="n">
        <f aca="false">SUMPRODUCT(MAX((Data_Trade!$A$2:$A$200=$B20)*(Data_Trade!$B$2:$B$200=$A20)*Data_Trade!$E$2:$E$200))</f>
        <v>28.7</v>
      </c>
      <c r="F20" s="39" t="n">
        <f aca="false">SUMPRODUCT((Data_Trade!$A$2:$A$200=$B20)*(Data_Trade!$B$2:$B$200=$A20)*Data_Trade!$E$2:$E$200^2)</f>
        <v>1286.46</v>
      </c>
      <c r="G20" s="27" t="n">
        <f aca="false">SUMIFS($F$8:$F$14,$A$8:$A$14,$A20,$I$8:$I$14,"Yes")</f>
        <v>65.2</v>
      </c>
      <c r="H20" s="2"/>
      <c r="I20" s="2"/>
      <c r="J20" s="2"/>
      <c r="K20" s="2"/>
      <c r="L20" s="2"/>
    </row>
    <row r="21" customFormat="false" ht="15" hidden="false" customHeight="false" outlineLevel="0" collapsed="false">
      <c r="A21" s="23" t="s">
        <v>114</v>
      </c>
      <c r="B21" s="34" t="n">
        <f aca="false">$B$4</f>
        <v>2024</v>
      </c>
      <c r="C21" s="34" t="n">
        <f aca="false">COUNTIFS(Data_Trade!$A$2:$A$200,$B21,Data_Trade!$B$2:$B$200,$A21)</f>
        <v>4</v>
      </c>
      <c r="D21" s="27" t="n">
        <f aca="false">SUMIFS(Data_Trade!$E$2:$E$200,Data_Trade!$A$2:$A$200,$B21,Data_Trade!$B$2:$B$200,$A21)</f>
        <v>67.6</v>
      </c>
      <c r="E21" s="27" t="n">
        <f aca="false">SUMPRODUCT(MAX((Data_Trade!$A$2:$A$200=$B21)*(Data_Trade!$B$2:$B$200=$A21)*Data_Trade!$E$2:$E$200))</f>
        <v>32.3</v>
      </c>
      <c r="F21" s="39" t="n">
        <f aca="false">SUMPRODUCT((Data_Trade!$A$2:$A$200=$B21)*(Data_Trade!$B$2:$B$200=$A21)*Data_Trade!$E$2:$E$200^2)</f>
        <v>1478.04</v>
      </c>
      <c r="G21" s="27" t="n">
        <f aca="false">SUMIFS($G$8:$G$14,$A$8:$A$14,$A21,$I$8:$I$14,"Yes")</f>
        <v>67.6</v>
      </c>
      <c r="H21" s="2"/>
      <c r="I21" s="2"/>
      <c r="J21" s="2"/>
      <c r="K21" s="2"/>
      <c r="L21" s="2"/>
    </row>
    <row r="22" customFormat="false" ht="15" hidden="false" customHeight="false" outlineLevel="0" collapsed="false">
      <c r="A22" s="3" t="s">
        <v>122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customFormat="false" ht="15" hidden="false" customHeight="false" outlineLevel="0" collapsed="false">
      <c r="A24" s="14" t="s">
        <v>123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customFormat="false" ht="15" hidden="false" customHeight="false" outlineLevel="0" collapsed="false">
      <c r="A25" s="2" t="s">
        <v>124</v>
      </c>
      <c r="B25" s="2"/>
      <c r="C25" s="2"/>
      <c r="D25" s="26" t="n">
        <f aca="false">AVERAGEIFS(Data_Trade!$F$2:$F$200,Data_Trade!$A$2:$A$200,$B$3)</f>
        <v>35.4333458258427</v>
      </c>
      <c r="E25" s="2"/>
      <c r="F25" s="2"/>
      <c r="G25" s="2"/>
      <c r="H25" s="2"/>
      <c r="I25" s="2"/>
      <c r="J25" s="2"/>
      <c r="K25" s="2"/>
      <c r="L25" s="2"/>
    </row>
    <row r="26" customFormat="false" ht="15" hidden="false" customHeight="false" outlineLevel="0" collapsed="false">
      <c r="A26" s="2" t="s">
        <v>125</v>
      </c>
      <c r="B26" s="2"/>
      <c r="C26" s="2"/>
      <c r="D26" s="26" t="n">
        <f aca="false">AVERAGEIFS(Data_Trade!$F$2:$F$200,Data_Trade!$A$2:$A$200,$B$4)</f>
        <v>36.0104886838823</v>
      </c>
      <c r="E26" s="2"/>
      <c r="F26" s="2"/>
      <c r="G26" s="2"/>
      <c r="H26" s="2"/>
      <c r="I26" s="2"/>
      <c r="J26" s="2"/>
      <c r="K26" s="2"/>
      <c r="L26" s="2"/>
    </row>
    <row r="27" customFormat="false" ht="15" hidden="false" customHeight="false" outlineLevel="0" collapsed="false">
      <c r="A27" s="2" t="s">
        <v>126</v>
      </c>
      <c r="B27" s="2"/>
      <c r="C27" s="2"/>
      <c r="D27" s="34" t="n">
        <f aca="false">COUNTIFS($E$8:$E$14,"&gt;0")</f>
        <v>3</v>
      </c>
      <c r="E27" s="2"/>
      <c r="F27" s="2"/>
      <c r="G27" s="2"/>
      <c r="H27" s="2"/>
      <c r="I27" s="2"/>
      <c r="J27" s="2"/>
      <c r="K27" s="2"/>
      <c r="L27" s="2"/>
    </row>
    <row r="28" customFormat="false" ht="15" hidden="false" customHeight="false" outlineLevel="0" collapsed="false">
      <c r="A28" s="2" t="s">
        <v>127</v>
      </c>
      <c r="B28" s="2"/>
      <c r="C28" s="2"/>
      <c r="D28" s="34" t="n">
        <f aca="false">COUNTIFS($I$8:$I$14,"No")</f>
        <v>1</v>
      </c>
      <c r="E28" s="2"/>
      <c r="F28" s="2"/>
      <c r="G28" s="2"/>
      <c r="H28" s="2"/>
      <c r="I28" s="2"/>
      <c r="J28" s="2"/>
      <c r="K28" s="2"/>
      <c r="L28" s="2"/>
    </row>
  </sheetData>
  <conditionalFormatting sqref="E8:E14">
    <cfRule type="cellIs" priority="2" operator="lessThan" aboveAverage="0" equalAverage="0" bottom="0" percent="0" rank="0" text="" dxfId="1">
      <formula>0</formula>
    </cfRule>
    <cfRule type="cellIs" priority="3" operator="greaterThan" aboveAverage="0" equalAverage="0" bottom="0" percent="0" rank="0" text="" dxfId="2">
      <formula>0</formula>
    </cfRule>
  </conditionalFormatting>
  <conditionalFormatting sqref="K8:K14">
    <cfRule type="dataBar" priority="4">
      <dataBar showValue="1" minLength="10" maxLength="90">
        <cfvo type="num" val="0"/>
        <cfvo type="num" val="6"/>
        <color rgb="FF5B8DB8"/>
      </dataBar>
      <extLst>
        <ext xmlns:x14="http://schemas.microsoft.com/office/spreadsheetml/2009/9/main" uri="{B025F937-C7B1-47D3-B67F-A62EFF666E3E}">
          <x14:id>{F266BFC7-BDEF-4A96-B0C4-2EAA30C8FA1D}</x14:id>
        </ext>
      </extLst>
    </cfRule>
  </conditionalFormatting>
  <conditionalFormatting sqref="I8:I14">
    <cfRule type="cellIs" priority="5" operator="equal" aboveAverage="0" equalAverage="0" bottom="0" percent="0" rank="0" text="" dxfId="3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66BFC7-BDEF-4A96-B0C4-2EAA30C8FA1D}">
            <x14:dataBar minLength="10" maxLength="90" axisPosition="none" gradient="true">
              <x14:cfvo type="num">
                <xm:f>0</xm:f>
              </x14:cfvo>
              <x14:cfvo type="num">
                <xm:f>6</xm:f>
              </x14:cfvo>
              <x14:negativeFillColor rgb="FF5B8DB8"/>
              <x14:axisColor rgb="FF000000"/>
            </x14:dataBar>
          </x14:cfRule>
          <xm:sqref>K8:K14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0"/>
  </cols>
  <sheetData>
    <row r="1" customFormat="false" ht="25.5" hidden="false" customHeight="true" outlineLevel="0" collapsed="false">
      <c r="A1" s="1" t="s">
        <v>128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129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</row>
    <row r="6" customFormat="false" ht="39.75" hidden="false" customHeight="true" outlineLevel="0" collapsed="false">
      <c r="A6" s="4" t="s">
        <v>97</v>
      </c>
      <c r="B6" s="4" t="s">
        <v>130</v>
      </c>
      <c r="C6" s="4" t="s">
        <v>104</v>
      </c>
      <c r="D6" s="4" t="s">
        <v>131</v>
      </c>
      <c r="E6" s="4" t="s">
        <v>132</v>
      </c>
      <c r="F6" s="4" t="s">
        <v>133</v>
      </c>
    </row>
    <row r="7" customFormat="false" ht="15" hidden="false" customHeight="false" outlineLevel="0" collapsed="false">
      <c r="A7" s="34" t="n">
        <f aca="false">MIN(Data_Prices!$A$2:$A$200)</f>
        <v>2021</v>
      </c>
      <c r="B7" s="27" t="n">
        <f aca="false">INDEX(Data_Prices!$B$2:$B$200,MATCH($A7,Data_Prices!$A$2:$A$200,0))</f>
        <v>138.1</v>
      </c>
      <c r="C7" s="25" t="str">
        <f aca="false">"n/a"</f>
        <v>n/a</v>
      </c>
      <c r="D7" s="27" t="n">
        <f aca="false">B7/$B$7*100</f>
        <v>100</v>
      </c>
      <c r="E7" s="25" t="n">
        <f aca="false">B7/MAX($B$7:$B$11)-1</f>
        <v>-0.599594085242099</v>
      </c>
      <c r="F7" s="9" t="str">
        <f aca="false">IF(B7=MAX($B$7:$B$11),"Peak","")</f>
        <v/>
      </c>
    </row>
    <row r="8" customFormat="false" ht="15" hidden="false" customHeight="false" outlineLevel="0" collapsed="false">
      <c r="A8" s="34" t="n">
        <f aca="false">A7+1</f>
        <v>2022</v>
      </c>
      <c r="B8" s="27" t="n">
        <f aca="false">INDEX(Data_Prices!$B$2:$B$200,MATCH($A8,Data_Prices!$A$2:$A$200,0))</f>
        <v>344.9</v>
      </c>
      <c r="C8" s="25" t="n">
        <f aca="false">B8/B7-1</f>
        <v>1.49746560463432</v>
      </c>
      <c r="D8" s="27" t="n">
        <f aca="false">B8/$B$7*100</f>
        <v>249.746560463432</v>
      </c>
      <c r="E8" s="25" t="n">
        <f aca="false">B8/MAX($B$7:$B$11)-1</f>
        <v>0</v>
      </c>
      <c r="F8" s="9" t="str">
        <f aca="false">IF(B8=MAX($B$7:$B$11),"Peak","")</f>
        <v>Peak</v>
      </c>
    </row>
    <row r="9" customFormat="false" ht="15" hidden="false" customHeight="false" outlineLevel="0" collapsed="false">
      <c r="A9" s="34" t="n">
        <f aca="false">A8+1</f>
        <v>2023</v>
      </c>
      <c r="B9" s="27" t="n">
        <f aca="false">INDEX(Data_Prices!$B$2:$B$200,MATCH($A9,Data_Prices!$A$2:$A$200,0))</f>
        <v>172.8</v>
      </c>
      <c r="C9" s="25" t="n">
        <f aca="false">B9/B8-1</f>
        <v>-0.498985213105248</v>
      </c>
      <c r="D9" s="27" t="n">
        <f aca="false">B9/$B$7*100</f>
        <v>125.126719768284</v>
      </c>
      <c r="E9" s="25" t="n">
        <f aca="false">B9/MAX($B$7:$B$11)-1</f>
        <v>-0.498985213105248</v>
      </c>
      <c r="F9" s="9" t="str">
        <f aca="false">IF(B9=MAX($B$7:$B$11),"Peak","")</f>
        <v/>
      </c>
    </row>
    <row r="10" customFormat="false" ht="15" hidden="false" customHeight="false" outlineLevel="0" collapsed="false">
      <c r="A10" s="34" t="n">
        <f aca="false">A9+1</f>
        <v>2024</v>
      </c>
      <c r="B10" s="27" t="n">
        <f aca="false">INDEX(Data_Prices!$B$2:$B$200,MATCH($A10,Data_Prices!$A$2:$A$200,0))</f>
        <v>136.1</v>
      </c>
      <c r="C10" s="25" t="n">
        <f aca="false">B10/B9-1</f>
        <v>-0.212384259259259</v>
      </c>
      <c r="D10" s="27" t="n">
        <f aca="false">B10/$B$7*100</f>
        <v>98.551774076756</v>
      </c>
      <c r="E10" s="25" t="n">
        <f aca="false">B10/MAX($B$7:$B$11)-1</f>
        <v>-0.605392867497826</v>
      </c>
      <c r="F10" s="9" t="str">
        <f aca="false">IF(B10=MAX($B$7:$B$11),"Peak","")</f>
        <v/>
      </c>
    </row>
    <row r="11" customFormat="false" ht="15" hidden="false" customHeight="false" outlineLevel="0" collapsed="false">
      <c r="A11" s="34" t="n">
        <f aca="false">A10+1</f>
        <v>2025</v>
      </c>
      <c r="B11" s="27" t="n">
        <f aca="false">INDEX(Data_Prices!$B$2:$B$200,MATCH($A11,Data_Prices!$A$2:$A$200,0))</f>
        <v>108.4</v>
      </c>
      <c r="C11" s="25" t="n">
        <f aca="false">B11/B10-1</f>
        <v>-0.203526818515797</v>
      </c>
      <c r="D11" s="27" t="n">
        <f aca="false">B11/$B$7*100</f>
        <v>78.4938450398262</v>
      </c>
      <c r="E11" s="25" t="n">
        <f aca="false">B11/MAX($B$7:$B$11)-1</f>
        <v>-0.685706001739635</v>
      </c>
      <c r="F11" s="9" t="str">
        <f aca="false">IF(B11=MAX($B$7:$B$11),"Peak","")</f>
        <v/>
      </c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</row>
    <row r="13" customFormat="false" ht="15" hidden="false" customHeight="false" outlineLevel="0" collapsed="false">
      <c r="A13" s="14" t="s">
        <v>134</v>
      </c>
      <c r="B13" s="2"/>
      <c r="C13" s="2"/>
      <c r="D13" s="2"/>
      <c r="E13" s="2"/>
      <c r="F13" s="2"/>
    </row>
    <row r="14" customFormat="false" ht="15" hidden="false" customHeight="false" outlineLevel="0" collapsed="false">
      <c r="A14" s="2" t="s">
        <v>135</v>
      </c>
      <c r="B14" s="27" t="n">
        <f aca="false">MAX($B$7:$B$11)</f>
        <v>344.9</v>
      </c>
      <c r="C14" s="2"/>
      <c r="D14" s="2"/>
      <c r="E14" s="2"/>
      <c r="F14" s="2"/>
    </row>
    <row r="15" customFormat="false" ht="15" hidden="false" customHeight="false" outlineLevel="0" collapsed="false">
      <c r="A15" s="2" t="s">
        <v>136</v>
      </c>
      <c r="B15" s="34" t="n">
        <f aca="false">INDEX($A$7:$A$11,MATCH(MAX($B$7:$B$11),$B$7:$B$11,0))</f>
        <v>2022</v>
      </c>
      <c r="C15" s="2"/>
      <c r="D15" s="2"/>
      <c r="E15" s="2"/>
      <c r="F15" s="2"/>
    </row>
    <row r="16" customFormat="false" ht="15" hidden="false" customHeight="false" outlineLevel="0" collapsed="false">
      <c r="A16" s="2" t="s">
        <v>137</v>
      </c>
      <c r="B16" s="27" t="n">
        <f aca="false">$B$11</f>
        <v>108.4</v>
      </c>
      <c r="C16" s="2"/>
      <c r="D16" s="2"/>
      <c r="E16" s="2"/>
      <c r="F16" s="2"/>
    </row>
    <row r="17" customFormat="false" ht="15" hidden="false" customHeight="false" outlineLevel="0" collapsed="false">
      <c r="A17" s="2" t="s">
        <v>34</v>
      </c>
      <c r="B17" s="25" t="n">
        <f aca="false">$B$11/MAX($B$7:$B$11)-1</f>
        <v>-0.685706001739635</v>
      </c>
      <c r="C17" s="2"/>
      <c r="D17" s="2"/>
      <c r="E17" s="2"/>
      <c r="F17" s="2"/>
    </row>
    <row r="18" customFormat="false" ht="15" hidden="false" customHeight="false" outlineLevel="0" collapsed="false">
      <c r="A18" s="2" t="s">
        <v>138</v>
      </c>
      <c r="B18" s="25" t="n">
        <f aca="false">$B$11/$B$7-1</f>
        <v>-0.215061549601738</v>
      </c>
      <c r="C18" s="2"/>
      <c r="D18" s="2"/>
      <c r="E18" s="2"/>
      <c r="F18" s="2"/>
    </row>
    <row r="19" customFormat="false" ht="15" hidden="false" customHeight="false" outlineLevel="0" collapsed="false">
      <c r="A19" s="2" t="s">
        <v>139</v>
      </c>
      <c r="B19" s="34" t="n">
        <f aca="false">COUNTIFS($B$7:$B$11,"&lt;"&amp;$B$7)</f>
        <v>2</v>
      </c>
      <c r="C19" s="2"/>
      <c r="D19" s="2"/>
      <c r="E19" s="2"/>
      <c r="F19" s="2"/>
    </row>
    <row r="20" customFormat="false" ht="15" hidden="false" customHeight="false" outlineLevel="0" collapsed="false">
      <c r="A20" s="2" t="s">
        <v>140</v>
      </c>
      <c r="B20" s="27" t="n">
        <f aca="false">AVERAGE($B$7:$B$11)</f>
        <v>180.06</v>
      </c>
      <c r="C20" s="2"/>
      <c r="D20" s="2"/>
      <c r="E20" s="2"/>
      <c r="F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</row>
    <row r="22" customFormat="false" ht="15" hidden="false" customHeight="false" outlineLevel="0" collapsed="false">
      <c r="A22" s="14" t="s">
        <v>141</v>
      </c>
      <c r="B22" s="2"/>
      <c r="C22" s="2"/>
      <c r="D22" s="2"/>
      <c r="E22" s="2"/>
      <c r="F22" s="2"/>
    </row>
    <row r="23" customFormat="false" ht="15" hidden="false" customHeight="false" outlineLevel="0" collapsed="false">
      <c r="A23" s="2" t="s">
        <v>142</v>
      </c>
      <c r="B23" s="27" t="n">
        <f aca="false">AVERAGEIFS(Data_Prices!$F$2:$F$200,Data_Prices!$D$2:$D$200,"2025-Q*")</f>
        <v>108.4</v>
      </c>
      <c r="C23" s="2"/>
      <c r="D23" s="2"/>
      <c r="E23" s="2"/>
      <c r="F23" s="2"/>
    </row>
    <row r="24" customFormat="false" ht="15" hidden="false" customHeight="false" outlineLevel="0" collapsed="false">
      <c r="A24" s="2" t="s">
        <v>143</v>
      </c>
      <c r="B24" s="27" t="n">
        <f aca="false">INDEX(Data_Prices!$B$2:$B$200,MATCH(2025,Data_Prices!$A$2:$A$200,0))</f>
        <v>108.4</v>
      </c>
      <c r="C24" s="2"/>
      <c r="D24" s="2"/>
      <c r="E24" s="2"/>
      <c r="F24" s="2"/>
    </row>
    <row r="25" customFormat="false" ht="15" hidden="false" customHeight="false" outlineLevel="0" collapsed="false">
      <c r="A25" s="2" t="s">
        <v>144</v>
      </c>
      <c r="B25" s="26" t="n">
        <f aca="false">B23-B24</f>
        <v>0</v>
      </c>
      <c r="C25" s="2"/>
      <c r="D25" s="2"/>
      <c r="E25" s="2"/>
      <c r="F25" s="2"/>
    </row>
    <row r="26" customFormat="false" ht="15" hidden="false" customHeight="false" outlineLevel="0" collapsed="false">
      <c r="A26" s="2" t="s">
        <v>145</v>
      </c>
      <c r="B26" s="40" t="str">
        <f aca="false">IF(ABS(B25)&lt;0.5,"OK: annual matches quarters","Check source")</f>
        <v>OK: annual matches quarters</v>
      </c>
      <c r="C26" s="2"/>
      <c r="D26" s="2"/>
      <c r="E26" s="2"/>
      <c r="F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</row>
    <row r="28" customFormat="false" ht="15" hidden="false" customHeight="false" outlineLevel="0" collapsed="false">
      <c r="A28" s="3" t="s">
        <v>146</v>
      </c>
      <c r="B28" s="2"/>
      <c r="C28" s="2"/>
      <c r="D28" s="2"/>
      <c r="E28" s="2"/>
      <c r="F28" s="2"/>
    </row>
  </sheetData>
  <conditionalFormatting sqref="C8:C11">
    <cfRule type="cellIs" priority="2" operator="lessThan" aboveAverage="0" equalAverage="0" bottom="0" percent="0" rank="0" text="" dxfId="1">
      <formula>0</formula>
    </cfRule>
    <cfRule type="cellIs" priority="3" operator="greaterThan" aboveAverage="0" equalAverage="0" bottom="0" percent="0" rank="0" text="" dxfId="2">
      <formula>0</formula>
    </cfRule>
  </conditionalFormatting>
  <conditionalFormatting sqref="B7:B11">
    <cfRule type="dataBar" priority="4">
      <dataBar showValue="1" minLength="10" maxLength="90">
        <cfvo type="num" val="0"/>
        <cfvo type="max" val="0"/>
        <color rgb="FF7F8C8D"/>
      </dataBar>
      <extLst>
        <ext xmlns:x14="http://schemas.microsoft.com/office/spreadsheetml/2009/9/main" uri="{B025F937-C7B1-47D3-B67F-A62EFF666E3E}">
          <x14:id>{A760DDB0-19DB-49D6-B19E-29EDB171E8B0}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60DDB0-19DB-49D6-B19E-29EDB171E8B0}">
            <x14:dataBar minLength="10" maxLength="90" axisPosition="none" gradient="true">
              <x14:cfvo type="num">
                <xm:f>0</xm:f>
              </x14:cfvo>
              <x14:cfvo type="max"/>
              <x14:negativeFillColor rgb="FF7F8C8D"/>
              <x14:axisColor rgb="FF000000"/>
            </x14:dataBar>
          </x14:cfRule>
          <xm:sqref>B7:B11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7"/>
    <col collapsed="false" customWidth="true" hidden="false" outlineLevel="0" max="5" min="5" style="0" width="20"/>
  </cols>
  <sheetData>
    <row r="1" customFormat="false" ht="24" hidden="false" customHeight="true" outlineLevel="0" collapsed="false">
      <c r="A1" s="4" t="s">
        <v>97</v>
      </c>
      <c r="B1" s="4" t="s">
        <v>69</v>
      </c>
      <c r="C1" s="4" t="s">
        <v>147</v>
      </c>
      <c r="D1" s="4" t="s">
        <v>148</v>
      </c>
      <c r="E1" s="4" t="s">
        <v>149</v>
      </c>
      <c r="F1" s="2"/>
      <c r="G1" s="3" t="s">
        <v>150</v>
      </c>
    </row>
    <row r="2" customFormat="false" ht="15" hidden="false" customHeight="false" outlineLevel="0" collapsed="false">
      <c r="A2" s="41" t="n">
        <v>2014</v>
      </c>
      <c r="B2" s="41" t="s">
        <v>91</v>
      </c>
      <c r="C2" s="42" t="n">
        <v>505.3</v>
      </c>
      <c r="D2" s="43" t="n">
        <v>1.89</v>
      </c>
      <c r="E2" s="2" t="str">
        <f aca="false">B2&amp;"|"&amp;A2</f>
        <v>Australia|2014</v>
      </c>
      <c r="F2" s="2"/>
      <c r="G2" s="3" t="s">
        <v>151</v>
      </c>
    </row>
    <row r="3" customFormat="false" ht="15" hidden="false" customHeight="false" outlineLevel="0" collapsed="false">
      <c r="A3" s="41" t="n">
        <v>2015</v>
      </c>
      <c r="B3" s="41" t="s">
        <v>91</v>
      </c>
      <c r="C3" s="42" t="n">
        <v>503.7</v>
      </c>
      <c r="D3" s="43" t="n">
        <v>1.88</v>
      </c>
      <c r="E3" s="2" t="str">
        <f aca="false">B3&amp;"|"&amp;A3</f>
        <v>Australia|2015</v>
      </c>
      <c r="F3" s="2"/>
      <c r="G3" s="3" t="s">
        <v>152</v>
      </c>
    </row>
    <row r="4" customFormat="false" ht="15" hidden="false" customHeight="false" outlineLevel="0" collapsed="false">
      <c r="A4" s="41" t="n">
        <v>2016</v>
      </c>
      <c r="B4" s="41" t="s">
        <v>91</v>
      </c>
      <c r="C4" s="42" t="n">
        <v>502.1</v>
      </c>
      <c r="D4" s="43" t="n">
        <v>1.95</v>
      </c>
      <c r="E4" s="2" t="str">
        <f aca="false">B4&amp;"|"&amp;A4</f>
        <v>Australia|2016</v>
      </c>
      <c r="F4" s="2"/>
      <c r="G4" s="2"/>
    </row>
    <row r="5" customFormat="false" ht="15" hidden="false" customHeight="false" outlineLevel="0" collapsed="false">
      <c r="A5" s="41" t="n">
        <v>2017</v>
      </c>
      <c r="B5" s="41" t="s">
        <v>91</v>
      </c>
      <c r="C5" s="42" t="n">
        <v>487.2</v>
      </c>
      <c r="D5" s="43" t="n">
        <v>1.94</v>
      </c>
      <c r="E5" s="2" t="str">
        <f aca="false">B5&amp;"|"&amp;A5</f>
        <v>Australia|2017</v>
      </c>
      <c r="F5" s="2"/>
      <c r="G5" s="2"/>
    </row>
    <row r="6" customFormat="false" ht="15" hidden="false" customHeight="false" outlineLevel="0" collapsed="false">
      <c r="A6" s="41" t="n">
        <v>2018</v>
      </c>
      <c r="B6" s="41" t="s">
        <v>91</v>
      </c>
      <c r="C6" s="42" t="n">
        <v>502</v>
      </c>
      <c r="D6" s="43" t="n">
        <v>1.88</v>
      </c>
      <c r="E6" s="2" t="str">
        <f aca="false">B6&amp;"|"&amp;A6</f>
        <v>Australia|2018</v>
      </c>
      <c r="F6" s="2"/>
      <c r="G6" s="2"/>
    </row>
    <row r="7" customFormat="false" ht="15" hidden="false" customHeight="false" outlineLevel="0" collapsed="false">
      <c r="A7" s="41" t="n">
        <v>2019</v>
      </c>
      <c r="B7" s="41" t="s">
        <v>91</v>
      </c>
      <c r="C7" s="42" t="n">
        <v>505.4</v>
      </c>
      <c r="D7" s="43" t="n">
        <v>1.83</v>
      </c>
      <c r="E7" s="2" t="str">
        <f aca="false">B7&amp;"|"&amp;A7</f>
        <v>Australia|2019</v>
      </c>
      <c r="F7" s="2"/>
      <c r="G7" s="2"/>
    </row>
    <row r="8" customFormat="false" ht="15" hidden="false" customHeight="false" outlineLevel="0" collapsed="false">
      <c r="A8" s="41" t="n">
        <v>2020</v>
      </c>
      <c r="B8" s="41" t="s">
        <v>91</v>
      </c>
      <c r="C8" s="42" t="n">
        <v>467.9</v>
      </c>
      <c r="D8" s="43" t="n">
        <v>1.75</v>
      </c>
      <c r="E8" s="2" t="str">
        <f aca="false">B8&amp;"|"&amp;A8</f>
        <v>Australia|2020</v>
      </c>
      <c r="F8" s="2"/>
      <c r="G8" s="2"/>
    </row>
    <row r="9" customFormat="false" ht="15" hidden="false" customHeight="false" outlineLevel="0" collapsed="false">
      <c r="A9" s="41" t="n">
        <v>2021</v>
      </c>
      <c r="B9" s="41" t="s">
        <v>91</v>
      </c>
      <c r="C9" s="42" t="n">
        <v>478.8</v>
      </c>
      <c r="D9" s="43" t="n">
        <v>1.69</v>
      </c>
      <c r="E9" s="2" t="str">
        <f aca="false">B9&amp;"|"&amp;A9</f>
        <v>Australia|2021</v>
      </c>
      <c r="F9" s="2"/>
      <c r="G9" s="2"/>
    </row>
    <row r="10" customFormat="false" ht="15" hidden="false" customHeight="false" outlineLevel="0" collapsed="false">
      <c r="A10" s="41" t="n">
        <v>2022</v>
      </c>
      <c r="B10" s="41" t="s">
        <v>91</v>
      </c>
      <c r="C10" s="42" t="n">
        <v>458.5</v>
      </c>
      <c r="D10" s="43" t="n">
        <v>1.63</v>
      </c>
      <c r="E10" s="2" t="str">
        <f aca="false">B10&amp;"|"&amp;A10</f>
        <v>Australia|2022</v>
      </c>
      <c r="F10" s="2"/>
      <c r="G10" s="2"/>
    </row>
    <row r="11" customFormat="false" ht="15" hidden="false" customHeight="false" outlineLevel="0" collapsed="false">
      <c r="A11" s="41" t="n">
        <v>2023</v>
      </c>
      <c r="B11" s="41" t="s">
        <v>91</v>
      </c>
      <c r="C11" s="42" t="n">
        <v>460.4</v>
      </c>
      <c r="D11" s="43" t="n">
        <v>1.54</v>
      </c>
      <c r="E11" s="2" t="str">
        <f aca="false">B11&amp;"|"&amp;A11</f>
        <v>Australia|2023</v>
      </c>
      <c r="F11" s="2"/>
      <c r="G11" s="2"/>
    </row>
    <row r="12" customFormat="false" ht="15" hidden="false" customHeight="false" outlineLevel="0" collapsed="false">
      <c r="A12" s="41" t="n">
        <v>2024</v>
      </c>
      <c r="B12" s="41" t="s">
        <v>91</v>
      </c>
      <c r="C12" s="42" t="n">
        <v>462.9</v>
      </c>
      <c r="D12" s="43" t="n">
        <v>1.52</v>
      </c>
      <c r="E12" s="2" t="str">
        <f aca="false">B12&amp;"|"&amp;A12</f>
        <v>Australia|2024</v>
      </c>
      <c r="F12" s="2"/>
      <c r="G12" s="2"/>
    </row>
    <row r="13" customFormat="false" ht="15" hidden="false" customHeight="false" outlineLevel="0" collapsed="false">
      <c r="A13" s="41" t="n">
        <v>2014</v>
      </c>
      <c r="B13" s="41" t="s">
        <v>88</v>
      </c>
      <c r="C13" s="42" t="n">
        <v>3873.9</v>
      </c>
      <c r="D13" s="43" t="n">
        <v>82.45</v>
      </c>
      <c r="E13" s="2" t="str">
        <f aca="false">B13&amp;"|"&amp;A13</f>
        <v>China|2014</v>
      </c>
      <c r="F13" s="2"/>
      <c r="G13" s="2"/>
    </row>
    <row r="14" customFormat="false" ht="15" hidden="false" customHeight="false" outlineLevel="0" collapsed="false">
      <c r="A14" s="41" t="n">
        <v>2015</v>
      </c>
      <c r="B14" s="41" t="s">
        <v>88</v>
      </c>
      <c r="C14" s="42" t="n">
        <v>3746.5</v>
      </c>
      <c r="D14" s="43" t="n">
        <v>82.1</v>
      </c>
      <c r="E14" s="2" t="str">
        <f aca="false">B14&amp;"|"&amp;A14</f>
        <v>China|2015</v>
      </c>
      <c r="F14" s="2"/>
      <c r="G14" s="2"/>
    </row>
    <row r="15" customFormat="false" ht="15" hidden="false" customHeight="false" outlineLevel="0" collapsed="false">
      <c r="A15" s="41" t="n">
        <v>2016</v>
      </c>
      <c r="B15" s="41" t="s">
        <v>88</v>
      </c>
      <c r="C15" s="42" t="n">
        <v>3410.6</v>
      </c>
      <c r="D15" s="43" t="n">
        <v>80.38</v>
      </c>
      <c r="E15" s="2" t="str">
        <f aca="false">B15&amp;"|"&amp;A15</f>
        <v>China|2016</v>
      </c>
      <c r="F15" s="2"/>
      <c r="G15" s="2"/>
    </row>
    <row r="16" customFormat="false" ht="15" hidden="false" customHeight="false" outlineLevel="0" collapsed="false">
      <c r="A16" s="41" t="n">
        <v>2017</v>
      </c>
      <c r="B16" s="41" t="s">
        <v>88</v>
      </c>
      <c r="C16" s="42" t="n">
        <v>3523.6</v>
      </c>
      <c r="D16" s="43" t="n">
        <v>78.03</v>
      </c>
      <c r="E16" s="2" t="str">
        <f aca="false">B16&amp;"|"&amp;A16</f>
        <v>China|2017</v>
      </c>
      <c r="F16" s="2"/>
      <c r="G16" s="2"/>
    </row>
    <row r="17" customFormat="false" ht="15" hidden="false" customHeight="false" outlineLevel="0" collapsed="false">
      <c r="A17" s="41" t="n">
        <v>2018</v>
      </c>
      <c r="B17" s="41" t="s">
        <v>88</v>
      </c>
      <c r="C17" s="42" t="n">
        <v>3697.7</v>
      </c>
      <c r="D17" s="43" t="n">
        <v>78.9</v>
      </c>
      <c r="E17" s="2" t="str">
        <f aca="false">B17&amp;"|"&amp;A17</f>
        <v>China|2018</v>
      </c>
      <c r="F17" s="2"/>
      <c r="G17" s="2"/>
    </row>
    <row r="18" customFormat="false" ht="15" hidden="false" customHeight="false" outlineLevel="0" collapsed="false">
      <c r="A18" s="41" t="n">
        <v>2019</v>
      </c>
      <c r="B18" s="41" t="s">
        <v>88</v>
      </c>
      <c r="C18" s="42" t="n">
        <v>3846.3</v>
      </c>
      <c r="D18" s="43" t="n">
        <v>80.47</v>
      </c>
      <c r="E18" s="2" t="str">
        <f aca="false">B18&amp;"|"&amp;A18</f>
        <v>China|2019</v>
      </c>
      <c r="F18" s="2"/>
      <c r="G18" s="2"/>
    </row>
    <row r="19" customFormat="false" ht="15" hidden="false" customHeight="false" outlineLevel="0" collapsed="false">
      <c r="A19" s="41" t="n">
        <v>2020</v>
      </c>
      <c r="B19" s="41" t="s">
        <v>88</v>
      </c>
      <c r="C19" s="42" t="n">
        <v>3901.6</v>
      </c>
      <c r="D19" s="43" t="n">
        <v>82.52</v>
      </c>
      <c r="E19" s="2" t="str">
        <f aca="false">B19&amp;"|"&amp;A19</f>
        <v>China|2020</v>
      </c>
      <c r="F19" s="2"/>
      <c r="G19" s="2"/>
    </row>
    <row r="20" customFormat="false" ht="15" hidden="false" customHeight="false" outlineLevel="0" collapsed="false">
      <c r="A20" s="41" t="n">
        <v>2021</v>
      </c>
      <c r="B20" s="41" t="s">
        <v>88</v>
      </c>
      <c r="C20" s="42" t="n">
        <v>4125.8</v>
      </c>
      <c r="D20" s="43" t="n">
        <v>84.25</v>
      </c>
      <c r="E20" s="2" t="str">
        <f aca="false">B20&amp;"|"&amp;A20</f>
        <v>China|2021</v>
      </c>
      <c r="F20" s="2"/>
      <c r="G20" s="2"/>
    </row>
    <row r="21" customFormat="false" ht="15" hidden="false" customHeight="false" outlineLevel="0" collapsed="false">
      <c r="A21" s="41" t="n">
        <v>2022</v>
      </c>
      <c r="B21" s="41" t="s">
        <v>88</v>
      </c>
      <c r="C21" s="42" t="n">
        <v>4558.6</v>
      </c>
      <c r="D21" s="43" t="n">
        <v>87.54</v>
      </c>
      <c r="E21" s="2" t="str">
        <f aca="false">B21&amp;"|"&amp;A21</f>
        <v>China|2022</v>
      </c>
      <c r="F21" s="2"/>
      <c r="G21" s="2"/>
    </row>
    <row r="22" customFormat="false" ht="15" hidden="false" customHeight="false" outlineLevel="0" collapsed="false">
      <c r="A22" s="41" t="n">
        <v>2023</v>
      </c>
      <c r="B22" s="41" t="s">
        <v>88</v>
      </c>
      <c r="C22" s="42" t="n">
        <v>4723.3</v>
      </c>
      <c r="D22" s="43" t="n">
        <v>87.83</v>
      </c>
      <c r="E22" s="2" t="str">
        <f aca="false">B22&amp;"|"&amp;A22</f>
        <v>China|2023</v>
      </c>
      <c r="F22" s="2"/>
      <c r="G22" s="2"/>
    </row>
    <row r="23" customFormat="false" ht="15" hidden="false" customHeight="false" outlineLevel="0" collapsed="false">
      <c r="A23" s="41" t="n">
        <v>2024</v>
      </c>
      <c r="B23" s="41" t="s">
        <v>88</v>
      </c>
      <c r="C23" s="42" t="n">
        <v>4780</v>
      </c>
      <c r="D23" s="43" t="n">
        <v>92.16</v>
      </c>
      <c r="E23" s="2" t="str">
        <f aca="false">B23&amp;"|"&amp;A23</f>
        <v>China|2024</v>
      </c>
      <c r="F23" s="2"/>
      <c r="G23" s="2"/>
    </row>
    <row r="24" customFormat="false" ht="15" hidden="false" customHeight="false" outlineLevel="0" collapsed="false">
      <c r="A24" s="41" t="n">
        <v>2014</v>
      </c>
      <c r="B24" s="41" t="s">
        <v>89</v>
      </c>
      <c r="C24" s="42" t="n">
        <v>646.2</v>
      </c>
      <c r="D24" s="43" t="n">
        <v>14.44</v>
      </c>
      <c r="E24" s="2" t="str">
        <f aca="false">B24&amp;"|"&amp;A24</f>
        <v>India|2014</v>
      </c>
      <c r="F24" s="2"/>
      <c r="G24" s="2"/>
    </row>
    <row r="25" customFormat="false" ht="15" hidden="false" customHeight="false" outlineLevel="0" collapsed="false">
      <c r="A25" s="41" t="n">
        <v>2015</v>
      </c>
      <c r="B25" s="41" t="s">
        <v>89</v>
      </c>
      <c r="C25" s="42" t="n">
        <v>674.2</v>
      </c>
      <c r="D25" s="43" t="n">
        <v>15.84</v>
      </c>
      <c r="E25" s="2" t="str">
        <f aca="false">B25&amp;"|"&amp;A25</f>
        <v>India|2015</v>
      </c>
      <c r="F25" s="2"/>
      <c r="G25" s="2"/>
    </row>
    <row r="26" customFormat="false" ht="15" hidden="false" customHeight="false" outlineLevel="0" collapsed="false">
      <c r="A26" s="41" t="n">
        <v>2016</v>
      </c>
      <c r="B26" s="41" t="s">
        <v>89</v>
      </c>
      <c r="C26" s="42" t="n">
        <v>689.8</v>
      </c>
      <c r="D26" s="43" t="n">
        <v>16.17</v>
      </c>
      <c r="E26" s="2" t="str">
        <f aca="false">B26&amp;"|"&amp;A26</f>
        <v>India|2016</v>
      </c>
      <c r="F26" s="2"/>
      <c r="G26" s="2"/>
    </row>
    <row r="27" customFormat="false" ht="15" hidden="false" customHeight="false" outlineLevel="0" collapsed="false">
      <c r="A27" s="41" t="n">
        <v>2017</v>
      </c>
      <c r="B27" s="41" t="s">
        <v>89</v>
      </c>
      <c r="C27" s="42" t="n">
        <v>711.7</v>
      </c>
      <c r="D27" s="43" t="n">
        <v>16.52</v>
      </c>
      <c r="E27" s="2" t="str">
        <f aca="false">B27&amp;"|"&amp;A27</f>
        <v>India|2017</v>
      </c>
      <c r="F27" s="2"/>
      <c r="G27" s="2"/>
    </row>
    <row r="28" customFormat="false" ht="15" hidden="false" customHeight="false" outlineLevel="0" collapsed="false">
      <c r="A28" s="41" t="n">
        <v>2018</v>
      </c>
      <c r="B28" s="41" t="s">
        <v>89</v>
      </c>
      <c r="C28" s="42" t="n">
        <v>760.4</v>
      </c>
      <c r="D28" s="43" t="n">
        <v>17.05</v>
      </c>
      <c r="E28" s="2" t="str">
        <f aca="false">B28&amp;"|"&amp;A28</f>
        <v>India|2018</v>
      </c>
      <c r="F28" s="2"/>
      <c r="G28" s="2"/>
    </row>
    <row r="29" customFormat="false" ht="15" hidden="false" customHeight="false" outlineLevel="0" collapsed="false">
      <c r="A29" s="41" t="n">
        <v>2019</v>
      </c>
      <c r="B29" s="41" t="s">
        <v>89</v>
      </c>
      <c r="C29" s="42" t="n">
        <v>753.9</v>
      </c>
      <c r="D29" s="43" t="n">
        <v>17.93</v>
      </c>
      <c r="E29" s="2" t="str">
        <f aca="false">B29&amp;"|"&amp;A29</f>
        <v>India|2019</v>
      </c>
      <c r="F29" s="2"/>
      <c r="G29" s="2"/>
    </row>
    <row r="30" customFormat="false" ht="15" hidden="false" customHeight="false" outlineLevel="0" collapsed="false">
      <c r="A30" s="41" t="n">
        <v>2020</v>
      </c>
      <c r="B30" s="41" t="s">
        <v>89</v>
      </c>
      <c r="C30" s="42" t="n">
        <v>760.2</v>
      </c>
      <c r="D30" s="43" t="n">
        <v>17.96</v>
      </c>
      <c r="E30" s="2" t="str">
        <f aca="false">B30&amp;"|"&amp;A30</f>
        <v>India|2020</v>
      </c>
      <c r="F30" s="2"/>
      <c r="G30" s="2"/>
    </row>
    <row r="31" customFormat="false" ht="15" hidden="false" customHeight="false" outlineLevel="0" collapsed="false">
      <c r="A31" s="41" t="n">
        <v>2021</v>
      </c>
      <c r="B31" s="41" t="s">
        <v>89</v>
      </c>
      <c r="C31" s="42" t="n">
        <v>812.1</v>
      </c>
      <c r="D31" s="43" t="n">
        <v>16.97</v>
      </c>
      <c r="E31" s="2" t="str">
        <f aca="false">B31&amp;"|"&amp;A31</f>
        <v>India|2021</v>
      </c>
      <c r="F31" s="2"/>
      <c r="G31" s="2"/>
    </row>
    <row r="32" customFormat="false" ht="15" hidden="false" customHeight="false" outlineLevel="0" collapsed="false">
      <c r="A32" s="41" t="n">
        <v>2022</v>
      </c>
      <c r="B32" s="41" t="s">
        <v>89</v>
      </c>
      <c r="C32" s="42" t="n">
        <v>910.8</v>
      </c>
      <c r="D32" s="43" t="n">
        <v>19.27</v>
      </c>
      <c r="E32" s="2" t="str">
        <f aca="false">B32&amp;"|"&amp;A32</f>
        <v>India|2022</v>
      </c>
      <c r="F32" s="2"/>
      <c r="G32" s="2"/>
    </row>
    <row r="33" customFormat="false" ht="15" hidden="false" customHeight="false" outlineLevel="0" collapsed="false">
      <c r="A33" s="41" t="n">
        <v>2023</v>
      </c>
      <c r="B33" s="41" t="s">
        <v>89</v>
      </c>
      <c r="C33" s="42" t="n">
        <v>1011.3</v>
      </c>
      <c r="D33" s="43" t="n">
        <v>20.03</v>
      </c>
      <c r="E33" s="2" t="str">
        <f aca="false">B33&amp;"|"&amp;A33</f>
        <v>India|2023</v>
      </c>
      <c r="F33" s="2"/>
      <c r="G33" s="2"/>
    </row>
    <row r="34" customFormat="false" ht="15" hidden="false" customHeight="false" outlineLevel="0" collapsed="false">
      <c r="A34" s="41" t="n">
        <v>2024</v>
      </c>
      <c r="B34" s="41" t="s">
        <v>89</v>
      </c>
      <c r="C34" s="42" t="n">
        <v>1085.1</v>
      </c>
      <c r="D34" s="43" t="n">
        <v>22.97</v>
      </c>
      <c r="E34" s="2" t="str">
        <f aca="false">B34&amp;"|"&amp;A34</f>
        <v>India|2024</v>
      </c>
      <c r="F34" s="2"/>
      <c r="G34" s="2"/>
    </row>
    <row r="35" customFormat="false" ht="15" hidden="false" customHeight="false" outlineLevel="0" collapsed="false">
      <c r="A35" s="41" t="n">
        <v>2014</v>
      </c>
      <c r="B35" s="41" t="s">
        <v>90</v>
      </c>
      <c r="C35" s="42" t="n">
        <v>458.1</v>
      </c>
      <c r="D35" s="43" t="n">
        <v>1.59</v>
      </c>
      <c r="E35" s="2" t="str">
        <f aca="false">B35&amp;"|"&amp;A35</f>
        <v>Indonesia|2014</v>
      </c>
      <c r="F35" s="2"/>
      <c r="G35" s="2"/>
    </row>
    <row r="36" customFormat="false" ht="15" hidden="false" customHeight="false" outlineLevel="0" collapsed="false">
      <c r="A36" s="41" t="n">
        <v>2015</v>
      </c>
      <c r="B36" s="41" t="s">
        <v>90</v>
      </c>
      <c r="C36" s="42" t="n">
        <v>461.6</v>
      </c>
      <c r="D36" s="43" t="n">
        <v>1.69</v>
      </c>
      <c r="E36" s="2" t="str">
        <f aca="false">B36&amp;"|"&amp;A36</f>
        <v>Indonesia|2015</v>
      </c>
      <c r="F36" s="2"/>
      <c r="G36" s="2"/>
    </row>
    <row r="37" customFormat="false" ht="15" hidden="false" customHeight="false" outlineLevel="0" collapsed="false">
      <c r="A37" s="41" t="n">
        <v>2016</v>
      </c>
      <c r="B37" s="41" t="s">
        <v>90</v>
      </c>
      <c r="C37" s="42" t="n">
        <v>461.2</v>
      </c>
      <c r="D37" s="43" t="n">
        <v>1.92</v>
      </c>
      <c r="E37" s="2" t="str">
        <f aca="false">B37&amp;"|"&amp;A37</f>
        <v>Indonesia|2016</v>
      </c>
      <c r="F37" s="2"/>
      <c r="G37" s="2"/>
    </row>
    <row r="38" customFormat="false" ht="15" hidden="false" customHeight="false" outlineLevel="0" collapsed="false">
      <c r="A38" s="41" t="n">
        <v>2017</v>
      </c>
      <c r="B38" s="41" t="s">
        <v>90</v>
      </c>
      <c r="C38" s="42" t="n">
        <v>461.2</v>
      </c>
      <c r="D38" s="43" t="n">
        <v>1.96</v>
      </c>
      <c r="E38" s="2" t="str">
        <f aca="false">B38&amp;"|"&amp;A38</f>
        <v>Indonesia|2017</v>
      </c>
      <c r="F38" s="2"/>
      <c r="G38" s="2"/>
    </row>
    <row r="39" customFormat="false" ht="15" hidden="false" customHeight="false" outlineLevel="0" collapsed="false">
      <c r="A39" s="41" t="n">
        <v>2018</v>
      </c>
      <c r="B39" s="41" t="s">
        <v>90</v>
      </c>
      <c r="C39" s="42" t="n">
        <v>557.8</v>
      </c>
      <c r="D39" s="43" t="n">
        <v>2.04</v>
      </c>
      <c r="E39" s="2" t="str">
        <f aca="false">B39&amp;"|"&amp;A39</f>
        <v>Indonesia|2018</v>
      </c>
      <c r="F39" s="2"/>
      <c r="G39" s="2"/>
    </row>
    <row r="40" customFormat="false" ht="15" hidden="false" customHeight="false" outlineLevel="0" collapsed="false">
      <c r="A40" s="41" t="n">
        <v>2019</v>
      </c>
      <c r="B40" s="41" t="s">
        <v>90</v>
      </c>
      <c r="C40" s="42" t="n">
        <v>616.2</v>
      </c>
      <c r="D40" s="43" t="n">
        <v>2.36</v>
      </c>
      <c r="E40" s="2" t="str">
        <f aca="false">B40&amp;"|"&amp;A40</f>
        <v>Indonesia|2019</v>
      </c>
      <c r="F40" s="2"/>
      <c r="G40" s="2"/>
    </row>
    <row r="41" customFormat="false" ht="15" hidden="false" customHeight="false" outlineLevel="0" collapsed="false">
      <c r="A41" s="41" t="n">
        <v>2020</v>
      </c>
      <c r="B41" s="41" t="s">
        <v>90</v>
      </c>
      <c r="C41" s="42" t="n">
        <v>563.7</v>
      </c>
      <c r="D41" s="43" t="n">
        <v>2.88</v>
      </c>
      <c r="E41" s="2" t="str">
        <f aca="false">B41&amp;"|"&amp;A41</f>
        <v>Indonesia|2020</v>
      </c>
      <c r="F41" s="2"/>
      <c r="G41" s="2"/>
    </row>
    <row r="42" customFormat="false" ht="15" hidden="false" customHeight="false" outlineLevel="0" collapsed="false">
      <c r="A42" s="41" t="n">
        <v>2021</v>
      </c>
      <c r="B42" s="41" t="s">
        <v>90</v>
      </c>
      <c r="C42" s="42" t="n">
        <v>614</v>
      </c>
      <c r="D42" s="43" t="n">
        <v>2.76</v>
      </c>
      <c r="E42" s="2" t="str">
        <f aca="false">B42&amp;"|"&amp;A42</f>
        <v>Indonesia|2021</v>
      </c>
      <c r="F42" s="2"/>
      <c r="G42" s="2"/>
    </row>
    <row r="43" customFormat="false" ht="15" hidden="false" customHeight="false" outlineLevel="0" collapsed="false">
      <c r="A43" s="41" t="n">
        <v>2022</v>
      </c>
      <c r="B43" s="41" t="s">
        <v>90</v>
      </c>
      <c r="C43" s="42" t="n">
        <v>687.4</v>
      </c>
      <c r="D43" s="43" t="n">
        <v>2.75</v>
      </c>
      <c r="E43" s="2" t="str">
        <f aca="false">B43&amp;"|"&amp;A43</f>
        <v>Indonesia|2022</v>
      </c>
      <c r="F43" s="2"/>
      <c r="G43" s="2"/>
    </row>
    <row r="44" customFormat="false" ht="15" hidden="false" customHeight="false" outlineLevel="0" collapsed="false">
      <c r="A44" s="41" t="n">
        <v>2023</v>
      </c>
      <c r="B44" s="41" t="s">
        <v>90</v>
      </c>
      <c r="C44" s="42" t="n">
        <v>775.2</v>
      </c>
      <c r="D44" s="43" t="n">
        <v>4.38</v>
      </c>
      <c r="E44" s="2" t="str">
        <f aca="false">B44&amp;"|"&amp;A44</f>
        <v>Indonesia|2023</v>
      </c>
      <c r="F44" s="2"/>
      <c r="G44" s="2"/>
    </row>
    <row r="45" customFormat="false" ht="15" hidden="false" customHeight="false" outlineLevel="0" collapsed="false">
      <c r="A45" s="41" t="n">
        <v>2024</v>
      </c>
      <c r="B45" s="41" t="s">
        <v>90</v>
      </c>
      <c r="C45" s="42" t="n">
        <v>836.1</v>
      </c>
      <c r="D45" s="43" t="n">
        <v>4.72</v>
      </c>
      <c r="E45" s="2" t="str">
        <f aca="false">B45&amp;"|"&amp;A45</f>
        <v>Indonesia|2024</v>
      </c>
      <c r="F45" s="2"/>
      <c r="G45" s="2"/>
    </row>
    <row r="46" customFormat="false" ht="15" hidden="false" customHeight="false" outlineLevel="0" collapsed="false">
      <c r="A46" s="41" t="n">
        <v>2014</v>
      </c>
      <c r="B46" s="41" t="s">
        <v>92</v>
      </c>
      <c r="C46" s="42" t="n">
        <v>1.3</v>
      </c>
      <c r="D46" s="43" t="n">
        <v>5.07</v>
      </c>
      <c r="E46" s="2" t="str">
        <f aca="false">B46&amp;"|"&amp;A46</f>
        <v>Japan|2014</v>
      </c>
      <c r="F46" s="2"/>
      <c r="G46" s="2"/>
    </row>
    <row r="47" customFormat="false" ht="15" hidden="false" customHeight="false" outlineLevel="0" collapsed="false">
      <c r="A47" s="41" t="n">
        <v>2015</v>
      </c>
      <c r="B47" s="41" t="s">
        <v>92</v>
      </c>
      <c r="C47" s="42" t="n">
        <v>1.2</v>
      </c>
      <c r="D47" s="43" t="n">
        <v>4.99</v>
      </c>
      <c r="E47" s="2" t="str">
        <f aca="false">B47&amp;"|"&amp;A47</f>
        <v>Japan|2015</v>
      </c>
      <c r="F47" s="2"/>
      <c r="G47" s="2"/>
    </row>
    <row r="48" customFormat="false" ht="15" hidden="false" customHeight="false" outlineLevel="0" collapsed="false">
      <c r="A48" s="41" t="n">
        <v>2016</v>
      </c>
      <c r="B48" s="41" t="s">
        <v>92</v>
      </c>
      <c r="C48" s="42" t="n">
        <v>1.3</v>
      </c>
      <c r="D48" s="43" t="n">
        <v>5.03</v>
      </c>
      <c r="E48" s="2" t="str">
        <f aca="false">B48&amp;"|"&amp;A48</f>
        <v>Japan|2016</v>
      </c>
      <c r="F48" s="2"/>
      <c r="G48" s="2"/>
    </row>
    <row r="49" customFormat="false" ht="15" hidden="false" customHeight="false" outlineLevel="0" collapsed="false">
      <c r="A49" s="41" t="n">
        <v>2017</v>
      </c>
      <c r="B49" s="41" t="s">
        <v>92</v>
      </c>
      <c r="C49" s="42" t="n">
        <v>1.4</v>
      </c>
      <c r="D49" s="43" t="n">
        <v>5.02</v>
      </c>
      <c r="E49" s="2" t="str">
        <f aca="false">B49&amp;"|"&amp;A49</f>
        <v>Japan|2017</v>
      </c>
      <c r="F49" s="2"/>
      <c r="G49" s="2"/>
    </row>
    <row r="50" customFormat="false" ht="15" hidden="false" customHeight="false" outlineLevel="0" collapsed="false">
      <c r="A50" s="41" t="n">
        <v>2018</v>
      </c>
      <c r="B50" s="41" t="s">
        <v>92</v>
      </c>
      <c r="C50" s="42" t="n">
        <v>1</v>
      </c>
      <c r="D50" s="43" t="n">
        <v>5.1</v>
      </c>
      <c r="E50" s="2" t="str">
        <f aca="false">B50&amp;"|"&amp;A50</f>
        <v>Japan|2018</v>
      </c>
      <c r="F50" s="2"/>
      <c r="G50" s="2"/>
    </row>
    <row r="51" customFormat="false" ht="15" hidden="false" customHeight="false" outlineLevel="0" collapsed="false">
      <c r="A51" s="41" t="n">
        <v>2019</v>
      </c>
      <c r="B51" s="41" t="s">
        <v>92</v>
      </c>
      <c r="C51" s="42" t="n">
        <v>0.8</v>
      </c>
      <c r="D51" s="43" t="n">
        <v>4.99</v>
      </c>
      <c r="E51" s="2" t="str">
        <f aca="false">B51&amp;"|"&amp;A51</f>
        <v>Japan|2019</v>
      </c>
      <c r="F51" s="2"/>
      <c r="G51" s="2"/>
    </row>
    <row r="52" customFormat="false" ht="15" hidden="false" customHeight="false" outlineLevel="0" collapsed="false">
      <c r="A52" s="41" t="n">
        <v>2020</v>
      </c>
      <c r="B52" s="41" t="s">
        <v>92</v>
      </c>
      <c r="C52" s="42" t="n">
        <v>0.8</v>
      </c>
      <c r="D52" s="43" t="n">
        <v>4.91</v>
      </c>
      <c r="E52" s="2" t="str">
        <f aca="false">B52&amp;"|"&amp;A52</f>
        <v>Japan|2020</v>
      </c>
      <c r="F52" s="2"/>
      <c r="G52" s="2"/>
    </row>
    <row r="53" customFormat="false" ht="15" hidden="false" customHeight="false" outlineLevel="0" collapsed="false">
      <c r="A53" s="41" t="n">
        <v>2021</v>
      </c>
      <c r="B53" s="41" t="s">
        <v>92</v>
      </c>
      <c r="C53" s="42" t="n">
        <v>0.7</v>
      </c>
      <c r="D53" s="43" t="n">
        <v>4.57</v>
      </c>
      <c r="E53" s="2" t="str">
        <f aca="false">B53&amp;"|"&amp;A53</f>
        <v>Japan|2021</v>
      </c>
      <c r="F53" s="2"/>
      <c r="G53" s="2"/>
    </row>
    <row r="54" customFormat="false" ht="15" hidden="false" customHeight="false" outlineLevel="0" collapsed="false">
      <c r="A54" s="41" t="n">
        <v>2022</v>
      </c>
      <c r="B54" s="41" t="s">
        <v>92</v>
      </c>
      <c r="C54" s="42" t="n">
        <v>0.7</v>
      </c>
      <c r="D54" s="43" t="n">
        <v>4.93</v>
      </c>
      <c r="E54" s="2" t="str">
        <f aca="false">B54&amp;"|"&amp;A54</f>
        <v>Japan|2022</v>
      </c>
      <c r="F54" s="2"/>
      <c r="G54" s="2"/>
    </row>
    <row r="55" customFormat="false" ht="15" hidden="false" customHeight="false" outlineLevel="0" collapsed="false">
      <c r="A55" s="41" t="n">
        <v>2023</v>
      </c>
      <c r="B55" s="41" t="s">
        <v>92</v>
      </c>
      <c r="C55" s="42" t="n">
        <v>0.5</v>
      </c>
      <c r="D55" s="43" t="n">
        <v>4.92</v>
      </c>
      <c r="E55" s="2" t="str">
        <f aca="false">B55&amp;"|"&amp;A55</f>
        <v>Japan|2023</v>
      </c>
      <c r="F55" s="2"/>
      <c r="G55" s="2"/>
    </row>
    <row r="56" customFormat="false" ht="15" hidden="false" customHeight="false" outlineLevel="0" collapsed="false">
      <c r="A56" s="41" t="n">
        <v>2024</v>
      </c>
      <c r="B56" s="41" t="s">
        <v>92</v>
      </c>
      <c r="C56" s="42" t="n">
        <v>0.5</v>
      </c>
      <c r="D56" s="43" t="n">
        <v>4.53</v>
      </c>
      <c r="E56" s="2" t="str">
        <f aca="false">B56&amp;"|"&amp;A56</f>
        <v>Japan|2024</v>
      </c>
      <c r="F56" s="2"/>
      <c r="G5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6" min="5" style="0" width="18"/>
  </cols>
  <sheetData>
    <row r="1" customFormat="false" ht="36" hidden="false" customHeight="true" outlineLevel="0" collapsed="false">
      <c r="A1" s="4" t="s">
        <v>97</v>
      </c>
      <c r="B1" s="4" t="s">
        <v>153</v>
      </c>
      <c r="C1" s="4" t="s">
        <v>69</v>
      </c>
      <c r="D1" s="4" t="s">
        <v>154</v>
      </c>
      <c r="E1" s="4" t="s">
        <v>155</v>
      </c>
      <c r="F1" s="4" t="s">
        <v>156</v>
      </c>
      <c r="G1" s="2"/>
      <c r="H1" s="3" t="s">
        <v>157</v>
      </c>
    </row>
    <row r="2" customFormat="false" ht="15" hidden="false" customHeight="false" outlineLevel="0" collapsed="false">
      <c r="A2" s="41" t="n">
        <v>2023</v>
      </c>
      <c r="B2" s="41" t="s">
        <v>112</v>
      </c>
      <c r="C2" s="41" t="s">
        <v>90</v>
      </c>
      <c r="D2" s="43" t="n">
        <v>10</v>
      </c>
      <c r="E2" s="44" t="n">
        <v>28.2</v>
      </c>
      <c r="F2" s="45" t="n">
        <f aca="false">IFERROR(D2/E2*100,"")</f>
        <v>35.4609929078014</v>
      </c>
      <c r="G2" s="2"/>
      <c r="H2" s="3" t="s">
        <v>158</v>
      </c>
    </row>
    <row r="3" customFormat="false" ht="15" hidden="false" customHeight="false" outlineLevel="0" collapsed="false">
      <c r="A3" s="41" t="n">
        <v>2023</v>
      </c>
      <c r="B3" s="41" t="s">
        <v>112</v>
      </c>
      <c r="C3" s="41" t="s">
        <v>91</v>
      </c>
      <c r="D3" s="43" t="n">
        <v>9</v>
      </c>
      <c r="E3" s="44" t="n">
        <v>25.4</v>
      </c>
      <c r="F3" s="45" t="n">
        <f aca="false">IFERROR(D3/E3*100,"")</f>
        <v>35.4330708661417</v>
      </c>
      <c r="G3" s="2"/>
      <c r="H3" s="2"/>
    </row>
    <row r="4" customFormat="false" ht="15" hidden="false" customHeight="false" outlineLevel="0" collapsed="false">
      <c r="A4" s="41" t="n">
        <v>2023</v>
      </c>
      <c r="B4" s="41" t="s">
        <v>112</v>
      </c>
      <c r="C4" s="41" t="s">
        <v>113</v>
      </c>
      <c r="D4" s="43" t="n">
        <v>5.39</v>
      </c>
      <c r="E4" s="44" t="n">
        <v>15.2</v>
      </c>
      <c r="F4" s="45" t="n">
        <f aca="false">IFERROR(D4/E4*100,"")</f>
        <v>35.4605263157895</v>
      </c>
      <c r="G4" s="2"/>
      <c r="H4" s="2"/>
    </row>
    <row r="5" customFormat="false" ht="15" hidden="false" customHeight="false" outlineLevel="0" collapsed="false">
      <c r="A5" s="41" t="n">
        <v>2023</v>
      </c>
      <c r="B5" s="41" t="s">
        <v>114</v>
      </c>
      <c r="C5" s="41" t="s">
        <v>88</v>
      </c>
      <c r="D5" s="43" t="n">
        <v>10.16</v>
      </c>
      <c r="E5" s="44" t="n">
        <v>28.7</v>
      </c>
      <c r="F5" s="45" t="n">
        <f aca="false">IFERROR(D5/E5*100,"")</f>
        <v>35.4006968641115</v>
      </c>
      <c r="G5" s="2"/>
      <c r="H5" s="2"/>
    </row>
    <row r="6" customFormat="false" ht="15" hidden="false" customHeight="false" outlineLevel="0" collapsed="false">
      <c r="A6" s="41" t="n">
        <v>2023</v>
      </c>
      <c r="B6" s="41" t="s">
        <v>114</v>
      </c>
      <c r="C6" s="41" t="s">
        <v>89</v>
      </c>
      <c r="D6" s="43" t="n">
        <v>5.35</v>
      </c>
      <c r="E6" s="44" t="n">
        <v>15.1</v>
      </c>
      <c r="F6" s="45" t="n">
        <f aca="false">IFERROR(D6/E6*100,"")</f>
        <v>35.4304635761589</v>
      </c>
      <c r="G6" s="2"/>
      <c r="H6" s="2"/>
    </row>
    <row r="7" customFormat="false" ht="15" hidden="false" customHeight="false" outlineLevel="0" collapsed="false">
      <c r="A7" s="41" t="n">
        <v>2023</v>
      </c>
      <c r="B7" s="41" t="s">
        <v>114</v>
      </c>
      <c r="C7" s="41" t="s">
        <v>92</v>
      </c>
      <c r="D7" s="43" t="n">
        <v>4.39</v>
      </c>
      <c r="E7" s="44" t="n">
        <v>12.4</v>
      </c>
      <c r="F7" s="45" t="n">
        <f aca="false">IFERROR(D7/E7*100,"")</f>
        <v>35.4032258064516</v>
      </c>
      <c r="G7" s="2"/>
      <c r="H7" s="2"/>
    </row>
    <row r="8" customFormat="false" ht="15" hidden="false" customHeight="false" outlineLevel="0" collapsed="false">
      <c r="A8" s="41" t="n">
        <v>2023</v>
      </c>
      <c r="B8" s="41" t="s">
        <v>114</v>
      </c>
      <c r="C8" s="41" t="s">
        <v>115</v>
      </c>
      <c r="D8" s="43" t="n">
        <v>3.19</v>
      </c>
      <c r="E8" s="44" t="n">
        <v>9</v>
      </c>
      <c r="F8" s="45" t="n">
        <f aca="false">IFERROR(D8/E8*100,"")</f>
        <v>35.4444444444444</v>
      </c>
      <c r="G8" s="2"/>
      <c r="H8" s="2"/>
    </row>
    <row r="9" customFormat="false" ht="15" hidden="false" customHeight="false" outlineLevel="0" collapsed="false">
      <c r="A9" s="41" t="n">
        <v>2024</v>
      </c>
      <c r="B9" s="41" t="s">
        <v>112</v>
      </c>
      <c r="C9" s="41" t="s">
        <v>90</v>
      </c>
      <c r="D9" s="43" t="n">
        <v>10.72</v>
      </c>
      <c r="E9" s="44" t="n">
        <v>29.8</v>
      </c>
      <c r="F9" s="45" t="n">
        <f aca="false">IFERROR(D9/E9*100,"")</f>
        <v>35.9731543624161</v>
      </c>
      <c r="G9" s="2"/>
      <c r="H9" s="2"/>
    </row>
    <row r="10" customFormat="false" ht="15" hidden="false" customHeight="false" outlineLevel="0" collapsed="false">
      <c r="A10" s="41" t="n">
        <v>2024</v>
      </c>
      <c r="B10" s="41" t="s">
        <v>112</v>
      </c>
      <c r="C10" s="41" t="s">
        <v>91</v>
      </c>
      <c r="D10" s="43" t="n">
        <v>9.07</v>
      </c>
      <c r="E10" s="44" t="n">
        <v>25.2</v>
      </c>
      <c r="F10" s="45" t="n">
        <f aca="false">IFERROR(D10/E10*100,"")</f>
        <v>35.9920634920635</v>
      </c>
      <c r="G10" s="2"/>
      <c r="H10" s="2"/>
    </row>
    <row r="11" customFormat="false" ht="15" hidden="false" customHeight="false" outlineLevel="0" collapsed="false">
      <c r="A11" s="41" t="n">
        <v>2024</v>
      </c>
      <c r="B11" s="41" t="s">
        <v>114</v>
      </c>
      <c r="C11" s="41" t="s">
        <v>88</v>
      </c>
      <c r="D11" s="43" t="n">
        <v>11.62</v>
      </c>
      <c r="E11" s="44" t="n">
        <v>32.3</v>
      </c>
      <c r="F11" s="45" t="n">
        <f aca="false">IFERROR(D11/E11*100,"")</f>
        <v>35.9752321981424</v>
      </c>
      <c r="G11" s="2"/>
      <c r="H11" s="2"/>
    </row>
    <row r="12" customFormat="false" ht="15" hidden="false" customHeight="false" outlineLevel="0" collapsed="false">
      <c r="A12" s="41" t="n">
        <v>2024</v>
      </c>
      <c r="B12" s="41" t="s">
        <v>114</v>
      </c>
      <c r="C12" s="41" t="s">
        <v>89</v>
      </c>
      <c r="D12" s="43" t="n">
        <v>5.3</v>
      </c>
      <c r="E12" s="44" t="n">
        <v>14.7</v>
      </c>
      <c r="F12" s="45" t="n">
        <f aca="false">IFERROR(D12/E12*100,"")</f>
        <v>36.0544217687075</v>
      </c>
      <c r="G12" s="2"/>
      <c r="H12" s="2"/>
    </row>
    <row r="13" customFormat="false" ht="15" hidden="false" customHeight="false" outlineLevel="0" collapsed="false">
      <c r="A13" s="41" t="n">
        <v>2024</v>
      </c>
      <c r="B13" s="41" t="s">
        <v>114</v>
      </c>
      <c r="C13" s="41" t="s">
        <v>92</v>
      </c>
      <c r="D13" s="43" t="n">
        <v>4.35</v>
      </c>
      <c r="E13" s="44" t="n">
        <v>12.1</v>
      </c>
      <c r="F13" s="45" t="n">
        <f aca="false">IFERROR(D13/E13*100,"")</f>
        <v>35.9504132231405</v>
      </c>
      <c r="G13" s="2"/>
      <c r="H13" s="2"/>
    </row>
    <row r="14" customFormat="false" ht="15" hidden="false" customHeight="false" outlineLevel="0" collapsed="false">
      <c r="A14" s="41" t="n">
        <v>2024</v>
      </c>
      <c r="B14" s="41" t="s">
        <v>114</v>
      </c>
      <c r="C14" s="41" t="s">
        <v>115</v>
      </c>
      <c r="D14" s="43" t="n">
        <v>3.07</v>
      </c>
      <c r="E14" s="44" t="n">
        <v>8.5</v>
      </c>
      <c r="F14" s="45" t="n">
        <f aca="false">IFERROR(D14/E14*100,"")</f>
        <v>36.1176470588235</v>
      </c>
      <c r="G14" s="2"/>
      <c r="H1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3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7"/>
  </cols>
  <sheetData>
    <row r="1" customFormat="false" ht="36" hidden="false" customHeight="true" outlineLevel="0" collapsed="false">
      <c r="A1" s="4" t="s">
        <v>97</v>
      </c>
      <c r="B1" s="4" t="s">
        <v>159</v>
      </c>
      <c r="C1" s="2"/>
      <c r="D1" s="4" t="s">
        <v>160</v>
      </c>
      <c r="E1" s="4" t="s">
        <v>161</v>
      </c>
      <c r="F1" s="4" t="s">
        <v>162</v>
      </c>
      <c r="G1" s="2"/>
      <c r="H1" s="3" t="s">
        <v>163</v>
      </c>
    </row>
    <row r="2" customFormat="false" ht="15" hidden="false" customHeight="false" outlineLevel="0" collapsed="false">
      <c r="A2" s="41" t="n">
        <v>2021</v>
      </c>
      <c r="B2" s="44" t="n">
        <v>138.1</v>
      </c>
      <c r="C2" s="2"/>
      <c r="D2" s="41" t="s">
        <v>164</v>
      </c>
      <c r="E2" s="2" t="str">
        <f aca="false">IF(ISNUMBER(SEARCH("Q",D2)),"Quarter","Month")</f>
        <v>Quarter</v>
      </c>
      <c r="F2" s="44" t="n">
        <v>140.8</v>
      </c>
      <c r="G2" s="2"/>
      <c r="H2" s="3" t="s">
        <v>165</v>
      </c>
    </row>
    <row r="3" customFormat="false" ht="15" hidden="false" customHeight="false" outlineLevel="0" collapsed="false">
      <c r="A3" s="41" t="n">
        <v>2022</v>
      </c>
      <c r="B3" s="44" t="n">
        <v>344.9</v>
      </c>
      <c r="C3" s="2"/>
      <c r="D3" s="41" t="s">
        <v>166</v>
      </c>
      <c r="E3" s="2" t="str">
        <f aca="false">IF(ISNUMBER(SEARCH("Q",D3)),"Quarter","Month")</f>
        <v>Quarter</v>
      </c>
      <c r="F3" s="44" t="n">
        <v>139.5</v>
      </c>
      <c r="G3" s="2"/>
      <c r="H3" s="2"/>
    </row>
    <row r="4" customFormat="false" ht="15" hidden="false" customHeight="false" outlineLevel="0" collapsed="false">
      <c r="A4" s="41" t="n">
        <v>2023</v>
      </c>
      <c r="B4" s="44" t="n">
        <v>172.8</v>
      </c>
      <c r="C4" s="2"/>
      <c r="D4" s="41" t="s">
        <v>167</v>
      </c>
      <c r="E4" s="2" t="str">
        <f aca="false">IF(ISNUMBER(SEARCH("Q",D4)),"Quarter","Month")</f>
        <v>Quarter</v>
      </c>
      <c r="F4" s="44" t="n">
        <v>109.8</v>
      </c>
      <c r="G4" s="2"/>
      <c r="H4" s="2"/>
    </row>
    <row r="5" customFormat="false" ht="15" hidden="false" customHeight="false" outlineLevel="0" collapsed="false">
      <c r="A5" s="41" t="n">
        <v>2024</v>
      </c>
      <c r="B5" s="44" t="n">
        <v>136.1</v>
      </c>
      <c r="C5" s="2"/>
      <c r="D5" s="41" t="s">
        <v>168</v>
      </c>
      <c r="E5" s="2" t="str">
        <f aca="false">IF(ISNUMBER(SEARCH("Q",D5)),"Quarter","Month")</f>
        <v>Quarter</v>
      </c>
      <c r="F5" s="44" t="n">
        <v>104</v>
      </c>
      <c r="G5" s="2"/>
      <c r="H5" s="2"/>
    </row>
    <row r="6" customFormat="false" ht="15" hidden="false" customHeight="false" outlineLevel="0" collapsed="false">
      <c r="A6" s="41" t="n">
        <v>2025</v>
      </c>
      <c r="B6" s="44" t="n">
        <v>108.4</v>
      </c>
      <c r="C6" s="2"/>
      <c r="D6" s="41" t="s">
        <v>169</v>
      </c>
      <c r="E6" s="2" t="str">
        <f aca="false">IF(ISNUMBER(SEARCH("Q",D6)),"Quarter","Month")</f>
        <v>Quarter</v>
      </c>
      <c r="F6" s="44" t="n">
        <v>110.5</v>
      </c>
      <c r="G6" s="2"/>
      <c r="H6" s="2"/>
    </row>
    <row r="7" customFormat="false" ht="15" hidden="false" customHeight="false" outlineLevel="0" collapsed="false">
      <c r="A7" s="2"/>
      <c r="B7" s="2"/>
      <c r="C7" s="2"/>
      <c r="D7" s="41" t="s">
        <v>170</v>
      </c>
      <c r="E7" s="2" t="str">
        <f aca="false">IF(ISNUMBER(SEARCH("Q",D7)),"Quarter","Month")</f>
        <v>Quarter</v>
      </c>
      <c r="F7" s="44" t="n">
        <v>109.3</v>
      </c>
      <c r="G7" s="2"/>
      <c r="H7" s="2"/>
    </row>
    <row r="8" customFormat="false" ht="15" hidden="false" customHeight="false" outlineLevel="0" collapsed="false">
      <c r="A8" s="2"/>
      <c r="B8" s="2"/>
      <c r="C8" s="2"/>
      <c r="D8" s="41" t="s">
        <v>171</v>
      </c>
      <c r="E8" s="2" t="str">
        <f aca="false">IF(ISNUMBER(SEARCH("Q",D8)),"Quarter","Month")</f>
        <v>Month</v>
      </c>
      <c r="F8" s="44" t="n">
        <v>107.5</v>
      </c>
      <c r="G8" s="2"/>
      <c r="H8" s="2"/>
    </row>
    <row r="9" customFormat="false" ht="15" hidden="false" customHeight="false" outlineLevel="0" collapsed="false">
      <c r="A9" s="2"/>
      <c r="B9" s="2"/>
      <c r="C9" s="2"/>
      <c r="D9" s="41" t="s">
        <v>172</v>
      </c>
      <c r="E9" s="2" t="str">
        <f aca="false">IF(ISNUMBER(SEARCH("Q",D9)),"Quarter","Month")</f>
        <v>Month</v>
      </c>
      <c r="F9" s="44" t="n">
        <v>112.6</v>
      </c>
      <c r="G9" s="2"/>
      <c r="H9" s="2"/>
    </row>
    <row r="10" customFormat="false" ht="15" hidden="false" customHeight="false" outlineLevel="0" collapsed="false">
      <c r="A10" s="2"/>
      <c r="B10" s="2"/>
      <c r="C10" s="2"/>
      <c r="D10" s="41" t="s">
        <v>173</v>
      </c>
      <c r="E10" s="2" t="str">
        <f aca="false">IF(ISNUMBER(SEARCH("Q",D10)),"Quarter","Month")</f>
        <v>Month</v>
      </c>
      <c r="F10" s="44" t="n">
        <v>107.7</v>
      </c>
      <c r="G10" s="2"/>
      <c r="H10" s="2"/>
    </row>
    <row r="11" customFormat="false" ht="15" hidden="false" customHeight="false" outlineLevel="0" collapsed="false">
      <c r="A11" s="2"/>
      <c r="B11" s="2"/>
      <c r="C11" s="2"/>
      <c r="D11" s="41" t="s">
        <v>174</v>
      </c>
      <c r="E11" s="2" t="str">
        <f aca="false">IF(ISNUMBER(SEARCH("Q",D11)),"Quarter","Month")</f>
        <v>Month</v>
      </c>
      <c r="F11" s="44" t="n">
        <v>109.8</v>
      </c>
      <c r="G11" s="2"/>
      <c r="H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8"/>
    <col collapsed="false" customWidth="true" hidden="false" outlineLevel="0" max="3" min="3" style="0" width="9"/>
    <col collapsed="false" customWidth="true" hidden="false" outlineLevel="0" max="4" min="4" style="0" width="90"/>
  </cols>
  <sheetData>
    <row r="1" customFormat="false" ht="25.5" hidden="false" customHeight="true" outlineLevel="0" collapsed="false">
      <c r="A1" s="1" t="s">
        <v>175</v>
      </c>
      <c r="B1" s="2"/>
      <c r="C1" s="2"/>
      <c r="D1" s="2"/>
    </row>
    <row r="2" customFormat="false" ht="15" hidden="false" customHeight="false" outlineLevel="0" collapsed="false">
      <c r="A2" s="3" t="s">
        <v>176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24" hidden="false" customHeight="true" outlineLevel="0" collapsed="false">
      <c r="A4" s="4" t="s">
        <v>177</v>
      </c>
      <c r="B4" s="4" t="s">
        <v>178</v>
      </c>
      <c r="C4" s="4" t="s">
        <v>145</v>
      </c>
      <c r="D4" s="4" t="s">
        <v>179</v>
      </c>
    </row>
    <row r="5" customFormat="false" ht="15" hidden="false" customHeight="false" outlineLevel="0" collapsed="false">
      <c r="A5" s="46" t="s">
        <v>180</v>
      </c>
      <c r="B5" s="46" t="s">
        <v>181</v>
      </c>
      <c r="C5" s="46" t="s">
        <v>182</v>
      </c>
      <c r="D5" s="46" t="s">
        <v>183</v>
      </c>
    </row>
    <row r="6" customFormat="false" ht="15" hidden="false" customHeight="false" outlineLevel="0" collapsed="false">
      <c r="A6" s="46" t="s">
        <v>180</v>
      </c>
      <c r="B6" s="46" t="s">
        <v>184</v>
      </c>
      <c r="C6" s="46" t="s">
        <v>182</v>
      </c>
      <c r="D6" s="46" t="s">
        <v>185</v>
      </c>
    </row>
    <row r="7" customFormat="false" ht="15" hidden="false" customHeight="false" outlineLevel="0" collapsed="false">
      <c r="A7" s="46" t="s">
        <v>186</v>
      </c>
      <c r="B7" s="46" t="s">
        <v>181</v>
      </c>
      <c r="C7" s="46" t="s">
        <v>182</v>
      </c>
      <c r="D7" s="46" t="s">
        <v>183</v>
      </c>
    </row>
    <row r="8" customFormat="false" ht="15" hidden="false" customHeight="false" outlineLevel="0" collapsed="false">
      <c r="A8" s="46" t="s">
        <v>186</v>
      </c>
      <c r="B8" s="46" t="s">
        <v>184</v>
      </c>
      <c r="C8" s="46" t="s">
        <v>182</v>
      </c>
      <c r="D8" s="46" t="s">
        <v>185</v>
      </c>
    </row>
    <row r="9" customFormat="false" ht="15" hidden="false" customHeight="false" outlineLevel="0" collapsed="false">
      <c r="A9" s="46" t="s">
        <v>187</v>
      </c>
      <c r="B9" s="46" t="s">
        <v>181</v>
      </c>
      <c r="C9" s="46" t="s">
        <v>182</v>
      </c>
      <c r="D9" s="46" t="s">
        <v>183</v>
      </c>
    </row>
    <row r="10" customFormat="false" ht="15" hidden="false" customHeight="false" outlineLevel="0" collapsed="false">
      <c r="A10" s="46" t="s">
        <v>187</v>
      </c>
      <c r="B10" s="46" t="s">
        <v>184</v>
      </c>
      <c r="C10" s="46" t="s">
        <v>182</v>
      </c>
      <c r="D10" s="46" t="s">
        <v>188</v>
      </c>
    </row>
    <row r="11" customFormat="false" ht="15" hidden="false" customHeight="false" outlineLevel="0" collapsed="false">
      <c r="A11" s="46" t="s">
        <v>189</v>
      </c>
      <c r="B11" s="46" t="s">
        <v>181</v>
      </c>
      <c r="C11" s="46" t="s">
        <v>182</v>
      </c>
      <c r="D11" s="46" t="s">
        <v>183</v>
      </c>
    </row>
    <row r="12" customFormat="false" ht="15" hidden="false" customHeight="false" outlineLevel="0" collapsed="false">
      <c r="A12" s="46" t="s">
        <v>189</v>
      </c>
      <c r="B12" s="46" t="s">
        <v>184</v>
      </c>
      <c r="C12" s="46" t="s">
        <v>182</v>
      </c>
      <c r="D12" s="46" t="s">
        <v>190</v>
      </c>
    </row>
    <row r="13" customFormat="false" ht="15" hidden="false" customHeight="false" outlineLevel="0" collapsed="false">
      <c r="A13" s="46" t="s">
        <v>180</v>
      </c>
      <c r="B13" s="46" t="s">
        <v>191</v>
      </c>
      <c r="C13" s="46" t="s">
        <v>182</v>
      </c>
      <c r="D13" s="46" t="s">
        <v>192</v>
      </c>
    </row>
    <row r="14" customFormat="false" ht="15" hidden="false" customHeight="false" outlineLevel="0" collapsed="false">
      <c r="A14" s="46" t="s">
        <v>186</v>
      </c>
      <c r="B14" s="46" t="s">
        <v>191</v>
      </c>
      <c r="C14" s="46" t="s">
        <v>182</v>
      </c>
      <c r="D14" s="46" t="s">
        <v>192</v>
      </c>
    </row>
    <row r="15" customFormat="false" ht="15" hidden="false" customHeight="false" outlineLevel="0" collapsed="false">
      <c r="A15" s="46" t="s">
        <v>193</v>
      </c>
      <c r="B15" s="46" t="s">
        <v>194</v>
      </c>
      <c r="C15" s="46" t="s">
        <v>182</v>
      </c>
      <c r="D15" s="46"/>
    </row>
    <row r="16" customFormat="false" ht="15" hidden="false" customHeight="false" outlineLevel="0" collapsed="false">
      <c r="A16" s="46" t="s">
        <v>180</v>
      </c>
      <c r="B16" s="46" t="s">
        <v>195</v>
      </c>
      <c r="C16" s="46" t="s">
        <v>182</v>
      </c>
      <c r="D16" s="46" t="s">
        <v>196</v>
      </c>
    </row>
    <row r="17" customFormat="false" ht="15" hidden="false" customHeight="false" outlineLevel="0" collapsed="false">
      <c r="A17" s="46" t="s">
        <v>186</v>
      </c>
      <c r="B17" s="46" t="s">
        <v>195</v>
      </c>
      <c r="C17" s="46" t="s">
        <v>182</v>
      </c>
      <c r="D17" s="46" t="s">
        <v>196</v>
      </c>
    </row>
    <row r="18" customFormat="false" ht="15" hidden="false" customHeight="false" outlineLevel="0" collapsed="false">
      <c r="A18" s="46" t="s">
        <v>187</v>
      </c>
      <c r="B18" s="46" t="s">
        <v>195</v>
      </c>
      <c r="C18" s="46" t="s">
        <v>182</v>
      </c>
      <c r="D18" s="46" t="s">
        <v>196</v>
      </c>
    </row>
    <row r="19" customFormat="false" ht="15" hidden="false" customHeight="false" outlineLevel="0" collapsed="false">
      <c r="A19" s="46" t="s">
        <v>180</v>
      </c>
      <c r="B19" s="46" t="s">
        <v>197</v>
      </c>
      <c r="C19" s="46" t="s">
        <v>182</v>
      </c>
      <c r="D19" s="46"/>
    </row>
    <row r="20" customFormat="false" ht="15" hidden="false" customHeight="false" outlineLevel="0" collapsed="false">
      <c r="A20" s="46" t="s">
        <v>186</v>
      </c>
      <c r="B20" s="46" t="s">
        <v>198</v>
      </c>
      <c r="C20" s="46" t="s">
        <v>199</v>
      </c>
      <c r="D20" s="46" t="s">
        <v>200</v>
      </c>
    </row>
    <row r="21" customFormat="false" ht="15" hidden="false" customHeight="false" outlineLevel="0" collapsed="false">
      <c r="A21" s="46" t="s">
        <v>180</v>
      </c>
      <c r="B21" s="46" t="s">
        <v>201</v>
      </c>
      <c r="C21" s="46" t="s">
        <v>199</v>
      </c>
      <c r="D21" s="46" t="s">
        <v>202</v>
      </c>
    </row>
    <row r="22" customFormat="false" ht="15" hidden="false" customHeight="false" outlineLevel="0" collapsed="false">
      <c r="A22" s="46" t="s">
        <v>187</v>
      </c>
      <c r="B22" s="46" t="s">
        <v>203</v>
      </c>
      <c r="C22" s="46" t="s">
        <v>182</v>
      </c>
      <c r="D22" s="46" t="s">
        <v>204</v>
      </c>
    </row>
    <row r="23" customFormat="false" ht="15" hidden="false" customHeight="false" outlineLevel="0" collapsed="false">
      <c r="A23" s="46" t="s">
        <v>187</v>
      </c>
      <c r="B23" s="46" t="s">
        <v>205</v>
      </c>
      <c r="C23" s="46" t="s">
        <v>182</v>
      </c>
      <c r="D23" s="46" t="s">
        <v>206</v>
      </c>
    </row>
    <row r="24" customFormat="false" ht="15" hidden="false" customHeight="false" outlineLevel="0" collapsed="false">
      <c r="A24" s="46" t="s">
        <v>187</v>
      </c>
      <c r="B24" s="46" t="s">
        <v>207</v>
      </c>
      <c r="C24" s="46" t="s">
        <v>182</v>
      </c>
      <c r="D24" s="46"/>
    </row>
    <row r="25" customFormat="false" ht="23.85" hidden="false" customHeight="false" outlineLevel="0" collapsed="false">
      <c r="A25" s="46" t="s">
        <v>187</v>
      </c>
      <c r="B25" s="46" t="s">
        <v>208</v>
      </c>
      <c r="C25" s="46" t="s">
        <v>199</v>
      </c>
      <c r="D25" s="46" t="s">
        <v>209</v>
      </c>
    </row>
    <row r="26" customFormat="false" ht="23.85" hidden="false" customHeight="false" outlineLevel="0" collapsed="false">
      <c r="A26" s="46" t="s">
        <v>189</v>
      </c>
      <c r="B26" s="46" t="s">
        <v>210</v>
      </c>
      <c r="C26" s="46" t="s">
        <v>199</v>
      </c>
      <c r="D26" s="46" t="s">
        <v>211</v>
      </c>
    </row>
    <row r="27" customFormat="false" ht="15" hidden="false" customHeight="false" outlineLevel="0" collapsed="false">
      <c r="A27" s="46" t="s">
        <v>189</v>
      </c>
      <c r="B27" s="46" t="s">
        <v>212</v>
      </c>
      <c r="C27" s="46" t="s">
        <v>182</v>
      </c>
      <c r="D27" s="46" t="s">
        <v>213</v>
      </c>
    </row>
    <row r="28" customFormat="false" ht="15" hidden="false" customHeight="false" outlineLevel="0" collapsed="false">
      <c r="A28" s="46" t="s">
        <v>214</v>
      </c>
      <c r="B28" s="46" t="s">
        <v>215</v>
      </c>
      <c r="C28" s="46" t="s">
        <v>216</v>
      </c>
      <c r="D28" s="46" t="s">
        <v>217</v>
      </c>
    </row>
  </sheetData>
  <conditionalFormatting sqref="C5:C28">
    <cfRule type="cellIs" priority="2" operator="equal" aboveAverage="0" equalAverage="0" bottom="0" percent="0" rank="0" text="" dxfId="8">
      <formula>"PASS"</formula>
    </cfRule>
    <cfRule type="cellIs" priority="3" operator="equal" aboveAverage="0" equalAverage="0" bottom="0" percent="0" rank="0" text="" dxfId="9">
      <formula>"WARN"</formula>
    </cfRule>
    <cfRule type="cellIs" priority="4" operator="equal" aboveAverage="0" equalAverage="0" bottom="0" percent="0" rank="0" text="" dxfId="10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25.5" hidden="false" customHeight="true" outlineLevel="0" collapsed="false">
      <c r="A1" s="1" t="s">
        <v>218</v>
      </c>
      <c r="B1" s="2"/>
    </row>
    <row r="2" customFormat="false" ht="15" hidden="false" customHeight="false" outlineLevel="0" collapsed="false">
      <c r="A2" s="2"/>
      <c r="B2" s="2"/>
    </row>
    <row r="3" customFormat="false" ht="31.5" hidden="false" customHeight="true" outlineLevel="0" collapsed="false">
      <c r="A3" s="14" t="s">
        <v>219</v>
      </c>
      <c r="B3" s="47" t="s">
        <v>220</v>
      </c>
    </row>
    <row r="4" customFormat="false" ht="31.5" hidden="false" customHeight="true" outlineLevel="0" collapsed="false">
      <c r="A4" s="14" t="s">
        <v>221</v>
      </c>
      <c r="B4" s="47" t="s">
        <v>222</v>
      </c>
    </row>
    <row r="5" customFormat="false" ht="31.5" hidden="false" customHeight="true" outlineLevel="0" collapsed="false">
      <c r="A5" s="14" t="s">
        <v>223</v>
      </c>
      <c r="B5" s="47" t="s">
        <v>224</v>
      </c>
    </row>
    <row r="6" customFormat="false" ht="31.5" hidden="false" customHeight="true" outlineLevel="0" collapsed="false">
      <c r="A6" s="14" t="s">
        <v>225</v>
      </c>
      <c r="B6" s="47" t="s">
        <v>226</v>
      </c>
    </row>
    <row r="7" customFormat="false" ht="31.5" hidden="false" customHeight="true" outlineLevel="0" collapsed="false">
      <c r="A7" s="14" t="s">
        <v>227</v>
      </c>
      <c r="B7" s="47" t="s">
        <v>228</v>
      </c>
    </row>
    <row r="8" customFormat="false" ht="31.5" hidden="false" customHeight="true" outlineLevel="0" collapsed="false">
      <c r="A8" s="14" t="s">
        <v>229</v>
      </c>
      <c r="B8" s="47" t="s">
        <v>230</v>
      </c>
    </row>
    <row r="9" customFormat="false" ht="31.5" hidden="false" customHeight="true" outlineLevel="0" collapsed="false">
      <c r="A9" s="14" t="s">
        <v>231</v>
      </c>
      <c r="B9" s="47" t="s">
        <v>232</v>
      </c>
    </row>
    <row r="10" customFormat="false" ht="31.5" hidden="false" customHeight="true" outlineLevel="0" collapsed="false">
      <c r="A10" s="14" t="s">
        <v>233</v>
      </c>
      <c r="B10" s="47" t="s">
        <v>234</v>
      </c>
    </row>
    <row r="11" customFormat="false" ht="31.5" hidden="false" customHeight="true" outlineLevel="0" collapsed="false">
      <c r="A11" s="14" t="s">
        <v>235</v>
      </c>
      <c r="B11" s="47" t="s">
        <v>236</v>
      </c>
    </row>
    <row r="12" customFormat="false" ht="31.5" hidden="false" customHeight="true" outlineLevel="0" collapsed="false">
      <c r="A12" s="14" t="s">
        <v>237</v>
      </c>
      <c r="B12" s="47" t="s">
        <v>238</v>
      </c>
    </row>
    <row r="13" customFormat="false" ht="31.5" hidden="false" customHeight="true" outlineLevel="0" collapsed="false">
      <c r="A13" s="14" t="s">
        <v>239</v>
      </c>
      <c r="B13" s="47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2026-10-01T21:55:02Z</dcterms:created>
  <dc:creator>openpyxl</dc:creator>
  <dc:description/>
  <dc:language>en-US</dc:language>
  <cp:lastModifiedBy/>
  <dcterms:modified xsi:type="dcterms:W3CDTF">2026-10-01T21:55:05Z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